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ee549e95104b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d18d891b49e4e19"/>
    <x:sheet xmlns:r="http://schemas.openxmlformats.org/officeDocument/2006/relationships" name="Horse_Profile" sheetId="2" r:id="R8ebe20d0578b40b4"/>
    <x:sheet xmlns:r="http://schemas.openxmlformats.org/officeDocument/2006/relationships" name="Judge_Scores" sheetId="3" r:id="R52f9596b3e904ebb"/>
    <x:sheet xmlns:r="http://schemas.openxmlformats.org/officeDocument/2006/relationships" name="Horse_Score_Summary" sheetId="4" r:id="R9447c56fd87b4c36"/>
    <x:sheet xmlns:r="http://schemas.openxmlformats.org/officeDocument/2006/relationships" name="Parent_Reference" sheetId="5" r:id="Rd2754802f5ab40be"/>
    <x:sheet xmlns:r="http://schemas.openxmlformats.org/officeDocument/2006/relationships" name="Dashboard" sheetId="6" r:id="R8867a27194f742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E0F2FE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d5e6ba264e4711" /><Relationship Type="http://schemas.openxmlformats.org/officeDocument/2006/relationships/theme" Target="/xl/theme/theme1.xml" Id="R02f791791b1a4688" /><Relationship Type="http://schemas.openxmlformats.org/officeDocument/2006/relationships/sharedStrings" Target="/xl/sharedStrings.xml" Id="R43f3f999dba947fe" /><Relationship Type="http://schemas.openxmlformats.org/officeDocument/2006/relationships/worksheet" Target="/xl/worksheets/sheet1.xml" Id="R0d18d891b49e4e19" /><Relationship Type="http://schemas.openxmlformats.org/officeDocument/2006/relationships/worksheet" Target="/xl/worksheets/sheet2.xml" Id="R8ebe20d0578b40b4" /><Relationship Type="http://schemas.openxmlformats.org/officeDocument/2006/relationships/worksheet" Target="/xl/worksheets/sheet3.xml" Id="R52f9596b3e904ebb" /><Relationship Type="http://schemas.openxmlformats.org/officeDocument/2006/relationships/worksheet" Target="/xl/worksheets/sheet4.xml" Id="R9447c56fd87b4c36" /><Relationship Type="http://schemas.openxmlformats.org/officeDocument/2006/relationships/worksheet" Target="/xl/worksheets/sheet5.xml" Id="Rd2754802f5ab40be" /><Relationship Type="http://schemas.openxmlformats.org/officeDocument/2006/relationships/worksheet" Target="/xl/worksheets/sheet6.xml" Id="R8867a27194f7427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21f42c2fd9742d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Average Total Score by Sire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Horse Count</c:v>
          </c:tx>
          <c:cat>
            <c:strRef>
              <c:f>'Dashboard'!$A$11:$A$15</c:f>
              <c:strCache>
                <c:ptCount val="0"/>
              </c:strCache>
            </c:strRef>
          </c:cat>
          <c:val>
            <c:numRef>
              <c:f>'Dashboard'!$B$11:$B$15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Avg Total</c:v>
          </c:tx>
          <c:cat>
            <c:strRef>
              <c:f>'Dashboard'!$A$11:$A$15</c:f>
              <c:strCache>
                <c:ptCount val="0"/>
              </c:strCache>
            </c:strRef>
          </c:cat>
          <c:val>
            <c:numRef>
              <c:f>'Dashboard'!$C$11:$C$15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1f42c2fd9742d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HorseProfileTable" displayName="HorseProfileTable" ref="A1:O41" headerRowCount="1" totalsRowCount="0" totalsRowShown="0">
  <x:tableColumns count="15">
    <x:tableColumn id="1" name="HorseID"/>
    <x:tableColumn id="2" name="RegisteredName"/>
    <x:tableColumn id="3" name="BarnName"/>
    <x:tableColumn id="4" name="Sex"/>
    <x:tableColumn id="5" name="BirthYear"/>
    <x:tableColumn id="6" name="AgeGroup"/>
    <x:tableColumn id="7" name="Color"/>
    <x:tableColumn id="8" name="CountryOfFoaling"/>
    <x:tableColumn id="9" name="Sire"/>
    <x:tableColumn id="10" name="Dam"/>
    <x:tableColumn id="11" name="DamSire"/>
    <x:tableColumn id="12" name="PaternalLine"/>
    <x:tableColumn id="13" name="DamLine"/>
    <x:tableColumn id="14" name="FarmGroup"/>
    <x:tableColumn id="15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JudgeScoresTable" displayName="JudgeScoresTable" ref="A1:L121" headerRowCount="1" totalsRowCount="0" totalsRowShown="0">
  <x:tableColumns count="12">
    <x:tableColumn id="1" name="ScoreID"/>
    <x:tableColumn id="2" name="HorseID"/>
    <x:tableColumn id="3" name="RegisteredName"/>
    <x:tableColumn id="4" name="Judge"/>
    <x:tableColumn id="5" name="Type"/>
    <x:tableColumn id="6" name="Head_Neck"/>
    <x:tableColumn id="7" name="Body_Topline"/>
    <x:tableColumn id="8" name="Legs"/>
    <x:tableColumn id="9" name="Movement"/>
    <x:tableColumn id="10" name="Balance"/>
    <x:tableColumn id="11" name="TotalScore"/>
    <x:tableColumn id="12" name="JudgeComment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orseSummaryTable" displayName="HorseSummaryTable" ref="A1:P41" headerRowCount="1" totalsRowCount="0" totalsRowShown="0">
  <x:tableColumns count="16">
    <x:tableColumn id="1" name="HorseID"/>
    <x:tableColumn id="2" name="RegisteredName"/>
    <x:tableColumn id="3" name="Sire"/>
    <x:tableColumn id="4" name="Sex"/>
    <x:tableColumn id="5" name="AgeGroup"/>
    <x:tableColumn id="6" name="Avg_Type"/>
    <x:tableColumn id="7" name="Avg_Head_Neck"/>
    <x:tableColumn id="8" name="Avg_Body_Topline"/>
    <x:tableColumn id="9" name="Avg_Legs"/>
    <x:tableColumn id="10" name="Avg_Movement"/>
    <x:tableColumn id="11" name="Avg_Balance"/>
    <x:tableColumn id="12" name="Avg_Total"/>
    <x:tableColumn id="13" name="Rank"/>
    <x:tableColumn id="14" name="ScoreTier"/>
    <x:tableColumn id="15" name="Main_Strength"/>
    <x:tableColumn id="16" name="Focus_Are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rentReferenceTable" displayName="ParentReferenceTable" ref="A1:G16" headerRowCount="1" totalsRowCount="0" totalsRowShown="0">
  <x:tableColumns count="7">
    <x:tableColumn id="1" name="ParentName"/>
    <x:tableColumn id="2" name="ParentType"/>
    <x:tableColumn id="3" name="PrimaryBloodline"/>
    <x:tableColumn id="4" name="HypotheticalShowScore"/>
    <x:tableColumn id="5" name="TypeInfluence"/>
    <x:tableColumn id="6" name="MovementInfluence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c6e64bfaf446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b727c6bd7f48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068bd376464a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cf689b9b07e4d4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cb0e03dbd63b4fda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5" hidden="0" customWidth="1"/>
  </x:cols>
  <x:sheetData>
    <x:row r="1">
      <x:c r="A1" s="10" t="str">
        <x:v>Synthetic Arabian Horse Score Dataset</x:v>
      </x:c>
      <x:c r="B1" s="10"/>
    </x:row>
    <x:row r="2">
      <x:c r="A2" s="7" t="str">
        <x:v>Purpose</x:v>
      </x:c>
      <x:c r="B2" t="str">
        <x:v>Practice dataset for Excel, SQL, and Power BI analysis of Arabian halter-style scoring and pedigree patterns.</x:v>
      </x:c>
    </x:row>
    <x:row r="3">
      <x:c r="A3" s="7" t="str">
        <x:v>Important note</x:v>
      </x:c>
      <x:c r="B3" t="str">
        <x:v>This workbook is hypothetical. Only the sire names were provided by the user; all horse names, dams, scores, and pedigree details are estimated/synthetic for coursework/practice.</x:v>
      </x:c>
    </x:row>
    <x:row r="4">
      <x:c r="A4" s="7" t="str">
        <x:v>Scoring scale</x:v>
      </x:c>
      <x:c r="B4" t="str">
        <x:v>Six AHA-style halter categories are scored 0–20 by three hypothetical judges. Total score is out of 120 per judge.</x:v>
      </x:c>
    </x:row>
    <x:row r="5">
      <x:c r="A5" s="7" t="str">
        <x:v>Main sheets</x:v>
      </x:c>
      <x:c r="B5" t="str">
        <x:v>Horse_Profile, Judge_Scores, Horse_Score_Summary, Parent_Reference, Dashboard</x:v>
      </x:c>
    </x:row>
    <x:row r="6">
      <x:c r="A6" s="7" t="str">
        <x:v>Suggested SQL tables</x:v>
      </x:c>
      <x:c r="B6" t="str">
        <x:v>horses, judge_scores, parent_reference, horse_score_summary</x:v>
      </x:c>
    </x:row>
    <x:row r="7">
      <x:c r="A7" s="7" t="str">
        <x:v>Suggested analysis ideas</x:v>
      </x:c>
      <x:c r="B7" t="str">
        <x:v>Compare average score by sire, identify strongest/weakest trait categories, study bloodline groups, review age/sex groups, and build dashboards.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>
      <x:c r="A1" s="16" t="str">
        <x:v>HorseID</x:v>
      </x:c>
      <x:c r="B1" s="16" t="str">
        <x:v>RegisteredName</x:v>
      </x:c>
      <x:c r="C1" s="16" t="str">
        <x:v>BarnName</x:v>
      </x:c>
      <x:c r="D1" s="16" t="str">
        <x:v>Sex</x:v>
      </x:c>
      <x:c r="E1" s="16" t="str">
        <x:v>BirthYear</x:v>
      </x:c>
      <x:c r="F1" s="16" t="str">
        <x:v>AgeGroup</x:v>
      </x:c>
      <x:c r="G1" s="16" t="str">
        <x:v>Color</x:v>
      </x:c>
      <x:c r="H1" s="16" t="str">
        <x:v>CountryOfFoaling</x:v>
      </x:c>
      <x:c r="I1" s="16" t="str">
        <x:v>Sire</x:v>
      </x:c>
      <x:c r="J1" s="16" t="str">
        <x:v>Dam</x:v>
      </x:c>
      <x:c r="K1" s="16" t="str">
        <x:v>DamSire</x:v>
      </x:c>
      <x:c r="L1" s="16" t="str">
        <x:v>PaternalLine</x:v>
      </x:c>
      <x:c r="M1" s="16" t="str">
        <x:v>DamLine</x:v>
      </x:c>
      <x:c r="N1" s="16" t="str">
        <x:v>FarmGroup</x:v>
      </x:c>
      <x:c r="O1" s="16" t="str">
        <x:v>Notes</x:v>
      </x:c>
    </x:row>
    <x:row r="2">
      <x:c r="A2" s="17" t="str">
        <x:v>HA-001</x:v>
      </x:c>
      <x:c r="B2" s="17" t="str">
        <x:v>HA Amira Legacy</x:v>
      </x:c>
      <x:c r="C2" s="17" t="str">
        <x:v>Amira</x:v>
      </x:c>
      <x:c r="D2" s="17" t="str">
        <x:v>Gelding</x:v>
      </x:c>
      <x:c r="E2" s="17" t="n">
        <x:v>2023</x:v>
      </x:c>
      <x:c r="F2" s="17" t="str">
        <x:v>Young Horse</x:v>
      </x:c>
      <x:c r="G2" s="17" t="str">
        <x:v>Bay</x:v>
      </x:c>
      <x:c r="H2" s="17" t="str">
        <x:v>Spain</x:v>
      </x:c>
      <x:c r="I2" s="17" t="str">
        <x:v>Pogrom</x:v>
      </x:c>
      <x:c r="J2" s="17" t="str">
        <x:v>Rose Amar HA</x:v>
      </x:c>
      <x:c r="K2" s="17" t="str">
        <x:v>El Nabila B</x:v>
      </x:c>
      <x:c r="L2" s="17" t="str">
        <x:v>Polish/International</x:v>
      </x:c>
      <x:c r="M2" s="17" t="str">
        <x:v>Egyptian-influenced</x:v>
      </x:c>
      <x:c r="N2" s="17" t="str">
        <x:v>Performance Prospect</x:v>
      </x:c>
      <x:c r="O2" s="17" t="str">
        <x:v>Good movement</x:v>
      </x:c>
    </x:row>
    <x:row r="3">
      <x:c r="A3" s="17" t="str">
        <x:v>HA-002</x:v>
      </x:c>
      <x:c r="B3" s="17" t="str">
        <x:v>HA Basir Royal Flame</x:v>
      </x:c>
      <x:c r="C3" s="17" t="str">
        <x:v>Basir</x:v>
      </x:c>
      <x:c r="D3" s="17" t="str">
        <x:v>Colt</x:v>
      </x:c>
      <x:c r="E3" s="17" t="n">
        <x:v>2024</x:v>
      </x:c>
      <x:c r="F3" s="17" t="str">
        <x:v>Junior</x:v>
      </x:c>
      <x:c r="G3" s="17" t="str">
        <x:v>Grey</x:v>
      </x:c>
      <x:c r="H3" s="17" t="str">
        <x:v>USA</x:v>
      </x:c>
      <x:c r="I3" s="17" t="str">
        <x:v>Pogrom</x:v>
      </x:c>
      <x:c r="J3" s="17" t="str">
        <x:v>Sultana Mirage HA</x:v>
      </x:c>
      <x:c r="K3" s="17" t="str">
        <x:v>Marwan Al Shaqab</x:v>
      </x:c>
      <x:c r="L3" s="17" t="str">
        <x:v>Polish/International</x:v>
      </x:c>
      <x:c r="M3" s="17" t="str">
        <x:v>Crabbet-influenced</x:v>
      </x:c>
      <x:c r="N3" s="17" t="str">
        <x:v>Breeding Prospect</x:v>
      </x:c>
      <x:c r="O3" s="17" t="str">
        <x:v>Good movement</x:v>
      </x:c>
    </x:row>
    <x:row r="4">
      <x:c r="A4" s="17" t="str">
        <x:v>HA-003</x:v>
      </x:c>
      <x:c r="B4" s="17" t="str">
        <x:v>HA Nadir Sundance</x:v>
      </x:c>
      <x:c r="C4" s="17" t="str">
        <x:v>Nadir</x:v>
      </x:c>
      <x:c r="D4" s="17" t="str">
        <x:v>Stallion</x:v>
      </x:c>
      <x:c r="E4" s="17" t="n">
        <x:v>2024</x:v>
      </x:c>
      <x:c r="F4" s="17" t="str">
        <x:v>Junior</x:v>
      </x:c>
      <x:c r="G4" s="17" t="str">
        <x:v>Black</x:v>
      </x:c>
      <x:c r="H4" s="17" t="str">
        <x:v>Qatar</x:v>
      </x:c>
      <x:c r="I4" s="17" t="str">
        <x:v>Abha Qatar</x:v>
      </x:c>
      <x:c r="J4" s="17" t="str">
        <x:v>Amira Star AM</x:v>
      </x:c>
      <x:c r="K4" s="17" t="str">
        <x:v>Da Valentino</x:v>
      </x:c>
      <x:c r="L4" s="17" t="str">
        <x:v>Qatari/Spanish</x:v>
      </x:c>
      <x:c r="M4" s="17" t="str">
        <x:v>Spanish</x:v>
      </x:c>
      <x:c r="N4" s="17" t="str">
        <x:v>Youth/Amateur</x:v>
      </x:c>
      <x:c r="O4" s="17" t="str">
        <x:v>Strong head and neck</x:v>
      </x:c>
    </x:row>
    <x:row r="5">
      <x:c r="A5" s="17" t="str">
        <x:v>HA-004</x:v>
      </x:c>
      <x:c r="B5" s="17" t="str">
        <x:v>HA Layla Dream</x:v>
      </x:c>
      <x:c r="C5" s="17" t="str">
        <x:v>Layla</x:v>
      </x:c>
      <x:c r="D5" s="17" t="str">
        <x:v>Mare</x:v>
      </x:c>
      <x:c r="E5" s="17" t="n">
        <x:v>2023</x:v>
      </x:c>
      <x:c r="F5" s="17" t="str">
        <x:v>Young Horse</x:v>
      </x:c>
      <x:c r="G5" s="17" t="str">
        <x:v>Chestnut</x:v>
      </x:c>
      <x:c r="H5" s="17" t="str">
        <x:v>Qatar</x:v>
      </x:c>
      <x:c r="I5" s="17" t="str">
        <x:v>Cavali by Da Valentio</x:v>
      </x:c>
      <x:c r="J5" s="17" t="str">
        <x:v>Noura Mirage AS</x:v>
      </x:c>
      <x:c r="K5" s="17" t="str">
        <x:v>Bey Shah</x:v>
      </x:c>
      <x:c r="L5" s="17" t="str">
        <x:v>Valentino/International</x:v>
      </x:c>
      <x:c r="M5" s="17" t="str">
        <x:v>Domestic</x:v>
      </x:c>
      <x:c r="N5" s="17" t="str">
        <x:v>Youth/Amateur</x:v>
      </x:c>
      <x:c r="O5" s="17" t="str">
        <x:v>Scope for conditioning</x:v>
      </x:c>
    </x:row>
    <x:row r="6">
      <x:c r="A6" s="17" t="str">
        <x:v>HA-005</x:v>
      </x:c>
      <x:c r="B6" s="17" t="str">
        <x:v>HA Zafir Golden Star</x:v>
      </x:c>
      <x:c r="C6" s="17" t="str">
        <x:v>Zafir</x:v>
      </x:c>
      <x:c r="D6" s="17" t="str">
        <x:v>Stallion</x:v>
      </x:c>
      <x:c r="E6" s="17" t="n">
        <x:v>2023</x:v>
      </x:c>
      <x:c r="F6" s="17" t="str">
        <x:v>Young Horse</x:v>
      </x:c>
      <x:c r="G6" s="17" t="str">
        <x:v>Bay</x:v>
      </x:c>
      <x:c r="H6" s="17" t="str">
        <x:v>Poland</x:v>
      </x:c>
      <x:c r="I6" s="17" t="str">
        <x:v>Van Gogh AM</x:v>
      </x:c>
      <x:c r="J6" s="17" t="str">
        <x:v>Jewel Hammad AM</x:v>
      </x:c>
      <x:c r="K6" s="17" t="str">
        <x:v>El Nabila B</x:v>
      </x:c>
      <x:c r="L6" s="17" t="str">
        <x:v>Brazilian/International</x:v>
      </x:c>
      <x:c r="M6" s="17" t="str">
        <x:v>Spanish</x:v>
      </x:c>
      <x:c r="N6" s="17" t="str">
        <x:v>Show String</x:v>
      </x:c>
      <x:c r="O6" s="17" t="str">
        <x:v>Strong head and neck</x:v>
      </x:c>
    </x:row>
    <x:row r="7">
      <x:c r="A7" s="17" t="str">
        <x:v>HA-006</x:v>
      </x:c>
      <x:c r="B7" s="17" t="str">
        <x:v>HA Malika Amethyst</x:v>
      </x:c>
      <x:c r="C7" s="17" t="str">
        <x:v>Malika</x:v>
      </x:c>
      <x:c r="D7" s="17" t="str">
        <x:v>Gelding</x:v>
      </x:c>
      <x:c r="E7" s="17" t="n">
        <x:v>2021</x:v>
      </x:c>
      <x:c r="F7" s="17" t="str">
        <x:v>Mature</x:v>
      </x:c>
      <x:c r="G7" s="17" t="str">
        <x:v>Black</x:v>
      </x:c>
      <x:c r="H7" s="17" t="str">
        <x:v>Poland</x:v>
      </x:c>
      <x:c r="I7" s="17" t="str">
        <x:v>Van Gogh AM</x:v>
      </x:c>
      <x:c r="J7" s="17" t="str">
        <x:v>Desert Star AS</x:v>
      </x:c>
      <x:c r="K7" s="17" t="str">
        <x:v>Gazal Al Shaqab</x:v>
      </x:c>
      <x:c r="L7" s="17" t="str">
        <x:v>Brazilian/International</x:v>
      </x:c>
      <x:c r="M7" s="17" t="str">
        <x:v>Polish</x:v>
      </x:c>
      <x:c r="N7" s="17" t="str">
        <x:v>Breeding Prospect</x:v>
      </x:c>
      <x:c r="O7" s="17" t="str">
        <x:v>Scope for conditioning</x:v>
      </x:c>
    </x:row>
    <x:row r="8">
      <x:c r="A8" s="17" t="str">
        <x:v>HA-007</x:v>
      </x:c>
      <x:c r="B8" s="17" t="str">
        <x:v>HA Sultan Golden Star</x:v>
      </x:c>
      <x:c r="C8" s="17" t="str">
        <x:v>Sultan</x:v>
      </x:c>
      <x:c r="D8" s="17" t="str">
        <x:v>Gelding</x:v>
      </x:c>
      <x:c r="E8" s="17" t="n">
        <x:v>2023</x:v>
      </x:c>
      <x:c r="F8" s="17" t="str">
        <x:v>Young Horse</x:v>
      </x:c>
      <x:c r="G8" s="17" t="str">
        <x:v>Black</x:v>
      </x:c>
      <x:c r="H8" s="17" t="str">
        <x:v>USA</x:v>
      </x:c>
      <x:c r="I8" s="17" t="str">
        <x:v>Titan AS</x:v>
      </x:c>
      <x:c r="J8" s="17" t="str">
        <x:v>Sultana Noor AM</x:v>
      </x:c>
      <x:c r="K8" s="17" t="str">
        <x:v>WH Justice</x:v>
      </x:c>
      <x:c r="L8" s="17" t="str">
        <x:v>American/International</x:v>
      </x:c>
      <x:c r="M8" s="17" t="str">
        <x:v>Polish</x:v>
      </x:c>
      <x:c r="N8" s="17" t="str">
        <x:v>Performance Prospect</x:v>
      </x:c>
      <x:c r="O8" s="17" t="str">
        <x:v>Needs maturity</x:v>
      </x:c>
    </x:row>
    <x:row r="9">
      <x:c r="A9" s="17" t="str">
        <x:v>HA-008</x:v>
      </x:c>
      <x:c r="B9" s="17" t="str">
        <x:v>HA Noor Mirage</x:v>
      </x:c>
      <x:c r="C9" s="17" t="str">
        <x:v>Noor</x:v>
      </x:c>
      <x:c r="D9" s="17" t="str">
        <x:v>Mare</x:v>
      </x:c>
      <x:c r="E9" s="17" t="n">
        <x:v>2024</x:v>
      </x:c>
      <x:c r="F9" s="17" t="str">
        <x:v>Junior</x:v>
      </x:c>
      <x:c r="G9" s="17" t="str">
        <x:v>Chestnut</x:v>
      </x:c>
      <x:c r="H9" s="17" t="str">
        <x:v>Poland</x:v>
      </x:c>
      <x:c r="I9" s="17" t="str">
        <x:v>Abha Qatar</x:v>
      </x:c>
      <x:c r="J9" s="17" t="str">
        <x:v>Belle Noor HA</x:v>
      </x:c>
      <x:c r="K9" s="17" t="str">
        <x:v>El Nabila B</x:v>
      </x:c>
      <x:c r="L9" s="17" t="str">
        <x:v>Qatari/Spanish</x:v>
      </x:c>
      <x:c r="M9" s="17" t="str">
        <x:v>Domestic</x:v>
      </x:c>
      <x:c r="N9" s="17" t="str">
        <x:v>Performance Prospect</x:v>
      </x:c>
      <x:c r="O9" s="17" t="str">
        <x:v>Needs maturity</x:v>
      </x:c>
    </x:row>
    <x:row r="10">
      <x:c r="A10" s="17" t="str">
        <x:v>HA-009</x:v>
      </x:c>
      <x:c r="B10" s="17" t="str">
        <x:v>HA Rayan Dream</x:v>
      </x:c>
      <x:c r="C10" s="17" t="str">
        <x:v>Rayan</x:v>
      </x:c>
      <x:c r="D10" s="17" t="str">
        <x:v>Colt</x:v>
      </x:c>
      <x:c r="E10" s="17" t="n">
        <x:v>2024</x:v>
      </x:c>
      <x:c r="F10" s="17" t="str">
        <x:v>Junior</x:v>
      </x:c>
      <x:c r="G10" s="17" t="str">
        <x:v>Bay</x:v>
      </x:c>
      <x:c r="H10" s="17" t="str">
        <x:v>USA</x:v>
      </x:c>
      <x:c r="I10" s="17" t="str">
        <x:v>Pogrom</x:v>
      </x:c>
      <x:c r="J10" s="17" t="str">
        <x:v>Lady Amar AM</x:v>
      </x:c>
      <x:c r="K10" s="17" t="str">
        <x:v>Versace</x:v>
      </x:c>
      <x:c r="L10" s="17" t="str">
        <x:v>Polish/International</x:v>
      </x:c>
      <x:c r="M10" s="17" t="str">
        <x:v>Egyptian-influenced</x:v>
      </x:c>
      <x:c r="N10" s="17" t="str">
        <x:v>Youth/Amateur</x:v>
      </x:c>
      <x:c r="O10" s="17" t="str">
        <x:v>Needs maturity</x:v>
      </x:c>
    </x:row>
    <x:row r="11">
      <x:c r="A11" s="17" t="str">
        <x:v>HA-010</x:v>
      </x:c>
      <x:c r="B11" s="17" t="str">
        <x:v>HA Sahara Desert Rose</x:v>
      </x:c>
      <x:c r="C11" s="17" t="str">
        <x:v>Sahara</x:v>
      </x:c>
      <x:c r="D11" s="17" t="str">
        <x:v>Mare</x:v>
      </x:c>
      <x:c r="E11" s="17" t="n">
        <x:v>2024</x:v>
      </x:c>
      <x:c r="F11" s="17" t="str">
        <x:v>Junior</x:v>
      </x:c>
      <x:c r="G11" s="17" t="str">
        <x:v>Flea-bitten Grey</x:v>
      </x:c>
      <x:c r="H11" s="17" t="str">
        <x:v>Poland</x:v>
      </x:c>
      <x:c r="I11" s="17" t="str">
        <x:v>Titan AS</x:v>
      </x:c>
      <x:c r="J11" s="17" t="str">
        <x:v>Amira Amar AS</x:v>
      </x:c>
      <x:c r="K11" s="17" t="str">
        <x:v>Ali Jamaal</x:v>
      </x:c>
      <x:c r="L11" s="17" t="str">
        <x:v>American/International</x:v>
      </x:c>
      <x:c r="M11" s="17" t="str">
        <x:v>Egyptian-influenced</x:v>
      </x:c>
      <x:c r="N11" s="17" t="str">
        <x:v>Youth/Amateur</x:v>
      </x:c>
      <x:c r="O11" s="17" t="str">
        <x:v>Scope for conditioning</x:v>
      </x:c>
    </x:row>
    <x:row r="12">
      <x:c r="A12" s="17" t="str">
        <x:v>HA-011</x:v>
      </x:c>
      <x:c r="B12" s="17" t="str">
        <x:v>HA Amani Moonlight</x:v>
      </x:c>
      <x:c r="C12" s="17" t="str">
        <x:v>Amani</x:v>
      </x:c>
      <x:c r="D12" s="17" t="str">
        <x:v>Stallion</x:v>
      </x:c>
      <x:c r="E12" s="17" t="n">
        <x:v>2020</x:v>
      </x:c>
      <x:c r="F12" s="17" t="str">
        <x:v>Mature</x:v>
      </x:c>
      <x:c r="G12" s="17" t="str">
        <x:v>Chestnut</x:v>
      </x:c>
      <x:c r="H12" s="17" t="str">
        <x:v>USA</x:v>
      </x:c>
      <x:c r="I12" s="17" t="str">
        <x:v>Van Gogh AM</x:v>
      </x:c>
      <x:c r="J12" s="17" t="str">
        <x:v>Noura Amar HA</x:v>
      </x:c>
      <x:c r="K12" s="17" t="str">
        <x:v>Padron</x:v>
      </x:c>
      <x:c r="L12" s="17" t="str">
        <x:v>Brazilian/International</x:v>
      </x:c>
      <x:c r="M12" s="17" t="str">
        <x:v>Spanish</x:v>
      </x:c>
      <x:c r="N12" s="17" t="str">
        <x:v>Foundation Mare</x:v>
      </x:c>
      <x:c r="O12" s="17" t="str">
        <x:v>Balanced profile</x:v>
      </x:c>
    </x:row>
    <x:row r="13">
      <x:c r="A13" s="17" t="str">
        <x:v>HA-012</x:v>
      </x:c>
      <x:c r="B13" s="17" t="str">
        <x:v>HA Kareem Amethyst</x:v>
      </x:c>
      <x:c r="C13" s="17" t="str">
        <x:v>Kareem</x:v>
      </x:c>
      <x:c r="D13" s="17" t="str">
        <x:v>Gelding</x:v>
      </x:c>
      <x:c r="E13" s="17" t="n">
        <x:v>2024</x:v>
      </x:c>
      <x:c r="F13" s="17" t="str">
        <x:v>Junior</x:v>
      </x:c>
      <x:c r="G13" s="17" t="str">
        <x:v>Grey</x:v>
      </x:c>
      <x:c r="H13" s="17" t="str">
        <x:v>Brazil</x:v>
      </x:c>
      <x:c r="I13" s="17" t="str">
        <x:v>Titan AS</x:v>
      </x:c>
      <x:c r="J13" s="17" t="str">
        <x:v>Jewel Hammad AS</x:v>
      </x:c>
      <x:c r="K13" s="17" t="str">
        <x:v>Padron</x:v>
      </x:c>
      <x:c r="L13" s="17" t="str">
        <x:v>American/International</x:v>
      </x:c>
      <x:c r="M13" s="17" t="str">
        <x:v>Egyptian-influenced</x:v>
      </x:c>
      <x:c r="N13" s="17" t="str">
        <x:v>Show String</x:v>
      </x:c>
      <x:c r="O13" s="17" t="str">
        <x:v>Scope for conditioning</x:v>
      </x:c>
    </x:row>
    <x:row r="14">
      <x:c r="A14" s="17" t="str">
        <x:v>HA-013</x:v>
      </x:c>
      <x:c r="B14" s="17" t="str">
        <x:v>HA Jasmine Sundance</x:v>
      </x:c>
      <x:c r="C14" s="17" t="str">
        <x:v>Jasmine</x:v>
      </x:c>
      <x:c r="D14" s="17" t="str">
        <x:v>Mare</x:v>
      </x:c>
      <x:c r="E14" s="17" t="n">
        <x:v>2024</x:v>
      </x:c>
      <x:c r="F14" s="17" t="str">
        <x:v>Junior</x:v>
      </x:c>
      <x:c r="G14" s="17" t="str">
        <x:v>Dark Bay</x:v>
      </x:c>
      <x:c r="H14" s="17" t="str">
        <x:v>Spain</x:v>
      </x:c>
      <x:c r="I14" s="17" t="str">
        <x:v>Van Gogh AM</x:v>
      </x:c>
      <x:c r="J14" s="17" t="str">
        <x:v>Belle Valentino RA</x:v>
      </x:c>
      <x:c r="K14" s="17" t="str">
        <x:v>Ali Jamaal</x:v>
      </x:c>
      <x:c r="L14" s="17" t="str">
        <x:v>Brazilian/International</x:v>
      </x:c>
      <x:c r="M14" s="17" t="str">
        <x:v>Polish</x:v>
      </x:c>
      <x:c r="N14" s="17" t="str">
        <x:v>Youth/Amateur</x:v>
      </x:c>
      <x:c r="O14" s="17" t="str">
        <x:v>Promising overall type</x:v>
      </x:c>
    </x:row>
    <x:row r="15">
      <x:c r="A15" s="17" t="str">
        <x:v>HA-014</x:v>
      </x:c>
      <x:c r="B15" s="17" t="str">
        <x:v>HA Samir Moonlight</x:v>
      </x:c>
      <x:c r="C15" s="17" t="str">
        <x:v>Samir</x:v>
      </x:c>
      <x:c r="D15" s="17" t="str">
        <x:v>Filly</x:v>
      </x:c>
      <x:c r="E15" s="17" t="n">
        <x:v>2024</x:v>
      </x:c>
      <x:c r="F15" s="17" t="str">
        <x:v>Junior</x:v>
      </x:c>
      <x:c r="G15" s="17" t="str">
        <x:v>Dark Bay</x:v>
      </x:c>
      <x:c r="H15" s="17" t="str">
        <x:v>USA</x:v>
      </x:c>
      <x:c r="I15" s="17" t="str">
        <x:v>Van Gogh AM</x:v>
      </x:c>
      <x:c r="J15" s="17" t="str">
        <x:v>Jewel Legacy RA</x:v>
      </x:c>
      <x:c r="K15" s="17" t="str">
        <x:v>Versace</x:v>
      </x:c>
      <x:c r="L15" s="17" t="str">
        <x:v>Brazilian/International</x:v>
      </x:c>
      <x:c r="M15" s="17" t="str">
        <x:v>Domestic</x:v>
      </x:c>
      <x:c r="N15" s="17" t="str">
        <x:v>Performance Prospect</x:v>
      </x:c>
      <x:c r="O15" s="17" t="str">
        <x:v>Needs maturity</x:v>
      </x:c>
    </x:row>
    <x:row r="16">
      <x:c r="A16" s="17" t="str">
        <x:v>HA-015</x:v>
      </x:c>
      <x:c r="B16" s="17" t="str">
        <x:v>HA Zara Marquis</x:v>
      </x:c>
      <x:c r="C16" s="17" t="str">
        <x:v>Zara</x:v>
      </x:c>
      <x:c r="D16" s="17" t="str">
        <x:v>Stallion</x:v>
      </x:c>
      <x:c r="E16" s="17" t="n">
        <x:v>2020</x:v>
      </x:c>
      <x:c r="F16" s="17" t="str">
        <x:v>Mature</x:v>
      </x:c>
      <x:c r="G16" s="17" t="str">
        <x:v>Bay</x:v>
      </x:c>
      <x:c r="H16" s="17" t="str">
        <x:v>Qatar</x:v>
      </x:c>
      <x:c r="I16" s="17" t="str">
        <x:v>Abha Qatar</x:v>
      </x:c>
      <x:c r="J16" s="17" t="str">
        <x:v>Sultana Amar AS</x:v>
      </x:c>
      <x:c r="K16" s="17" t="str">
        <x:v>Padron</x:v>
      </x:c>
      <x:c r="L16" s="17" t="str">
        <x:v>Qatari/Spanish</x:v>
      </x:c>
      <x:c r="M16" s="17" t="str">
        <x:v>Polish</x:v>
      </x:c>
      <x:c r="N16" s="17" t="str">
        <x:v>Show String</x:v>
      </x:c>
      <x:c r="O16" s="17" t="str">
        <x:v>Balanced profile</x:v>
      </x:c>
    </x:row>
    <x:row r="17">
      <x:c r="A17" s="17" t="str">
        <x:v>HA-016</x:v>
      </x:c>
      <x:c r="B17" s="17" t="str">
        <x:v>HA Farid Royal Flame</x:v>
      </x:c>
      <x:c r="C17" s="17" t="str">
        <x:v>Farid</x:v>
      </x:c>
      <x:c r="D17" s="17" t="str">
        <x:v>Mare</x:v>
      </x:c>
      <x:c r="E17" s="17" t="n">
        <x:v>2021</x:v>
      </x:c>
      <x:c r="F17" s="17" t="str">
        <x:v>Mature</x:v>
      </x:c>
      <x:c r="G17" s="17" t="str">
        <x:v>Bay</x:v>
      </x:c>
      <x:c r="H17" s="17" t="str">
        <x:v>Poland</x:v>
      </x:c>
      <x:c r="I17" s="17" t="str">
        <x:v>Cavali by Da Valentio</x:v>
      </x:c>
      <x:c r="J17" s="17" t="str">
        <x:v>Princess Qatar AS</x:v>
      </x:c>
      <x:c r="K17" s="17" t="str">
        <x:v>Gazal Al Shaqab</x:v>
      </x:c>
      <x:c r="L17" s="17" t="str">
        <x:v>Valentino/International</x:v>
      </x:c>
      <x:c r="M17" s="17" t="str">
        <x:v>Crabbet-influenced</x:v>
      </x:c>
      <x:c r="N17" s="17" t="str">
        <x:v>Foundation Mare</x:v>
      </x:c>
      <x:c r="O17" s="17" t="str">
        <x:v>Strong head and neck</x:v>
      </x:c>
    </x:row>
    <x:row r="18">
      <x:c r="A18" s="17" t="str">
        <x:v>HA-017</x:v>
      </x:c>
      <x:c r="B18" s="17" t="str">
        <x:v>HA Noura Al Jannat</x:v>
      </x:c>
      <x:c r="C18" s="17" t="str">
        <x:v>Noura</x:v>
      </x:c>
      <x:c r="D18" s="17" t="str">
        <x:v>Colt</x:v>
      </x:c>
      <x:c r="E18" s="17" t="n">
        <x:v>2022</x:v>
      </x:c>
      <x:c r="F18" s="17" t="str">
        <x:v>Young Horse</x:v>
      </x:c>
      <x:c r="G18" s="17" t="str">
        <x:v>Chestnut</x:v>
      </x:c>
      <x:c r="H18" s="17" t="str">
        <x:v>Brazil</x:v>
      </x:c>
      <x:c r="I18" s="17" t="str">
        <x:v>Cavali by Da Valentio</x:v>
      </x:c>
      <x:c r="J18" s="17" t="str">
        <x:v>Rose Noor AS</x:v>
      </x:c>
      <x:c r="K18" s="17" t="str">
        <x:v>Magnum Psyche</x:v>
      </x:c>
      <x:c r="L18" s="17" t="str">
        <x:v>Valentino/International</x:v>
      </x:c>
      <x:c r="M18" s="17" t="str">
        <x:v>Egyptian-influenced</x:v>
      </x:c>
      <x:c r="N18" s="17" t="str">
        <x:v>Foundation Mare</x:v>
      </x:c>
      <x:c r="O18" s="17" t="str">
        <x:v>Good movement</x:v>
      </x:c>
    </x:row>
    <x:row r="19">
      <x:c r="A19" s="17" t="str">
        <x:v>HA-018</x:v>
      </x:c>
      <x:c r="B19" s="17" t="str">
        <x:v>HA Khalil Valentino</x:v>
      </x:c>
      <x:c r="C19" s="17" t="str">
        <x:v>Khalil</x:v>
      </x:c>
      <x:c r="D19" s="17" t="str">
        <x:v>Filly</x:v>
      </x:c>
      <x:c r="E19" s="17" t="n">
        <x:v>2024</x:v>
      </x:c>
      <x:c r="F19" s="17" t="str">
        <x:v>Junior</x:v>
      </x:c>
      <x:c r="G19" s="17" t="str">
        <x:v>Bay</x:v>
      </x:c>
      <x:c r="H19" s="17" t="str">
        <x:v>USA</x:v>
      </x:c>
      <x:c r="I19" s="17" t="str">
        <x:v>Titan AS</x:v>
      </x:c>
      <x:c r="J19" s="17" t="str">
        <x:v>Lady Hammad RA</x:v>
      </x:c>
      <x:c r="K19" s="17" t="str">
        <x:v>Versace</x:v>
      </x:c>
      <x:c r="L19" s="17" t="str">
        <x:v>American/International</x:v>
      </x:c>
      <x:c r="M19" s="17" t="str">
        <x:v>Egyptian-influenced</x:v>
      </x:c>
      <x:c r="N19" s="17" t="str">
        <x:v>Breeding Prospect</x:v>
      </x:c>
      <x:c r="O19" s="17" t="str">
        <x:v>Strong head and neck</x:v>
      </x:c>
    </x:row>
    <x:row r="20">
      <x:c r="A20" s="17" t="str">
        <x:v>HA-019</x:v>
      </x:c>
      <x:c r="B20" s="17" t="str">
        <x:v>HA Saffron Golden Star</x:v>
      </x:c>
      <x:c r="C20" s="17" t="str">
        <x:v>Saffron</x:v>
      </x:c>
      <x:c r="D20" s="17" t="str">
        <x:v>Filly</x:v>
      </x:c>
      <x:c r="E20" s="17" t="n">
        <x:v>2020</x:v>
      </x:c>
      <x:c r="F20" s="17" t="str">
        <x:v>Mature</x:v>
      </x:c>
      <x:c r="G20" s="17" t="str">
        <x:v>Chestnut</x:v>
      </x:c>
      <x:c r="H20" s="17" t="str">
        <x:v>USA</x:v>
      </x:c>
      <x:c r="I20" s="17" t="str">
        <x:v>Abha Qatar</x:v>
      </x:c>
      <x:c r="J20" s="17" t="str">
        <x:v>Amira Star AS</x:v>
      </x:c>
      <x:c r="K20" s="17" t="str">
        <x:v>Magnum Psyche</x:v>
      </x:c>
      <x:c r="L20" s="17" t="str">
        <x:v>Qatari/Spanish</x:v>
      </x:c>
      <x:c r="M20" s="17" t="str">
        <x:v>Domestic</x:v>
      </x:c>
      <x:c r="N20" s="17" t="str">
        <x:v>Performance Prospect</x:v>
      </x:c>
      <x:c r="O20" s="17" t="str">
        <x:v>Balanced profile</x:v>
      </x:c>
    </x:row>
    <x:row r="21">
      <x:c r="A21" s="17" t="str">
        <x:v>HA-020</x:v>
      </x:c>
      <x:c r="B21" s="17" t="str">
        <x:v>HA Aziza Royal Flame</x:v>
      </x:c>
      <x:c r="C21" s="17" t="str">
        <x:v>Aziza</x:v>
      </x:c>
      <x:c r="D21" s="17" t="str">
        <x:v>Colt</x:v>
      </x:c>
      <x:c r="E21" s="17" t="n">
        <x:v>2024</x:v>
      </x:c>
      <x:c r="F21" s="17" t="str">
        <x:v>Junior</x:v>
      </x:c>
      <x:c r="G21" s="17" t="str">
        <x:v>Bay</x:v>
      </x:c>
      <x:c r="H21" s="17" t="str">
        <x:v>USA</x:v>
      </x:c>
      <x:c r="I21" s="17" t="str">
        <x:v>Van Gogh AM</x:v>
      </x:c>
      <x:c r="J21" s="17" t="str">
        <x:v>Jewel Valentino RA</x:v>
      </x:c>
      <x:c r="K21" s="17" t="str">
        <x:v>Bey Shah</x:v>
      </x:c>
      <x:c r="L21" s="17" t="str">
        <x:v>Brazilian/International</x:v>
      </x:c>
      <x:c r="M21" s="17" t="str">
        <x:v>Domestic</x:v>
      </x:c>
      <x:c r="N21" s="17" t="str">
        <x:v>Breeding Prospect</x:v>
      </x:c>
      <x:c r="O21" s="17" t="str">
        <x:v>Needs maturity</x:v>
      </x:c>
    </x:row>
    <x:row r="22">
      <x:c r="A22" s="17" t="str">
        <x:v>HA-021</x:v>
      </x:c>
      <x:c r="B22" s="17" t="str">
        <x:v>HA Majid Al Jannat</x:v>
      </x:c>
      <x:c r="C22" s="17" t="str">
        <x:v>Majid</x:v>
      </x:c>
      <x:c r="D22" s="17" t="str">
        <x:v>Filly</x:v>
      </x:c>
      <x:c r="E22" s="17" t="n">
        <x:v>2020</x:v>
      </x:c>
      <x:c r="F22" s="17" t="str">
        <x:v>Mature</x:v>
      </x:c>
      <x:c r="G22" s="17" t="str">
        <x:v>Black</x:v>
      </x:c>
      <x:c r="H22" s="17" t="str">
        <x:v>Qatar</x:v>
      </x:c>
      <x:c r="I22" s="17" t="str">
        <x:v>Van Gogh AM</x:v>
      </x:c>
      <x:c r="J22" s="17" t="str">
        <x:v>Amira Star AM</x:v>
      </x:c>
      <x:c r="K22" s="17" t="str">
        <x:v>El Nabila B</x:v>
      </x:c>
      <x:c r="L22" s="17" t="str">
        <x:v>Brazilian/International</x:v>
      </x:c>
      <x:c r="M22" s="17" t="str">
        <x:v>Crabbet-influenced</x:v>
      </x:c>
      <x:c r="N22" s="17" t="str">
        <x:v>Performance Prospect</x:v>
      </x:c>
      <x:c r="O22" s="17" t="str">
        <x:v>Scope for conditioning</x:v>
      </x:c>
    </x:row>
    <x:row r="23">
      <x:c r="A23" s="17" t="str">
        <x:v>HA-022</x:v>
      </x:c>
      <x:c r="B23" s="17" t="str">
        <x:v>HA Dalia Desert Rose</x:v>
      </x:c>
      <x:c r="C23" s="17" t="str">
        <x:v>Dalia</x:v>
      </x:c>
      <x:c r="D23" s="17" t="str">
        <x:v>Stallion</x:v>
      </x:c>
      <x:c r="E23" s="17" t="n">
        <x:v>2021</x:v>
      </x:c>
      <x:c r="F23" s="17" t="str">
        <x:v>Mature</x:v>
      </x:c>
      <x:c r="G23" s="17" t="str">
        <x:v>Chestnut</x:v>
      </x:c>
      <x:c r="H23" s="17" t="str">
        <x:v>Brazil</x:v>
      </x:c>
      <x:c r="I23" s="17" t="str">
        <x:v>Titan AS</x:v>
      </x:c>
      <x:c r="J23" s="17" t="str">
        <x:v>Bint Rose HA</x:v>
      </x:c>
      <x:c r="K23" s="17" t="str">
        <x:v>Versace</x:v>
      </x:c>
      <x:c r="L23" s="17" t="str">
        <x:v>American/International</x:v>
      </x:c>
      <x:c r="M23" s="17" t="str">
        <x:v>Egyptian-influenced</x:v>
      </x:c>
      <x:c r="N23" s="17" t="str">
        <x:v>Show String</x:v>
      </x:c>
      <x:c r="O23" s="17" t="str">
        <x:v>Promising overall type</x:v>
      </x:c>
    </x:row>
    <x:row r="24">
      <x:c r="A24" s="17" t="str">
        <x:v>HA-023</x:v>
      </x:c>
      <x:c r="B24" s="17" t="str">
        <x:v>HA Rashid Golden Star</x:v>
      </x:c>
      <x:c r="C24" s="17" t="str">
        <x:v>Rashid</x:v>
      </x:c>
      <x:c r="D24" s="17" t="str">
        <x:v>Colt</x:v>
      </x:c>
      <x:c r="E24" s="17" t="n">
        <x:v>2020</x:v>
      </x:c>
      <x:c r="F24" s="17" t="str">
        <x:v>Mature</x:v>
      </x:c>
      <x:c r="G24" s="17" t="str">
        <x:v>Dark Bay</x:v>
      </x:c>
      <x:c r="H24" s="17" t="str">
        <x:v>USA</x:v>
      </x:c>
      <x:c r="I24" s="17" t="str">
        <x:v>Cavali by Da Valentio</x:v>
      </x:c>
      <x:c r="J24" s="17" t="str">
        <x:v>Lady Valentino HA</x:v>
      </x:c>
      <x:c r="K24" s="17" t="str">
        <x:v>Padron</x:v>
      </x:c>
      <x:c r="L24" s="17" t="str">
        <x:v>Valentino/International</x:v>
      </x:c>
      <x:c r="M24" s="17" t="str">
        <x:v>Egyptian-influenced</x:v>
      </x:c>
      <x:c r="N24" s="17" t="str">
        <x:v>Breeding Prospect</x:v>
      </x:c>
      <x:c r="O24" s="17" t="str">
        <x:v>Needs maturity</x:v>
      </x:c>
    </x:row>
    <x:row r="25">
      <x:c r="A25" s="17" t="str">
        <x:v>HA-024</x:v>
      </x:c>
      <x:c r="B25" s="17" t="str">
        <x:v>HA Soraya Amethyst</x:v>
      </x:c>
      <x:c r="C25" s="17" t="str">
        <x:v>Soraya</x:v>
      </x:c>
      <x:c r="D25" s="17" t="str">
        <x:v>Colt</x:v>
      </x:c>
      <x:c r="E25" s="17" t="n">
        <x:v>2021</x:v>
      </x:c>
      <x:c r="F25" s="17" t="str">
        <x:v>Mature</x:v>
      </x:c>
      <x:c r="G25" s="17" t="str">
        <x:v>Dark Bay</x:v>
      </x:c>
      <x:c r="H25" s="17" t="str">
        <x:v>Poland</x:v>
      </x:c>
      <x:c r="I25" s="17" t="str">
        <x:v>Titan AS</x:v>
      </x:c>
      <x:c r="J25" s="17" t="str">
        <x:v>Bint Rose HA</x:v>
      </x:c>
      <x:c r="K25" s="17" t="str">
        <x:v>El Nabila B</x:v>
      </x:c>
      <x:c r="L25" s="17" t="str">
        <x:v>American/International</x:v>
      </x:c>
      <x:c r="M25" s="17" t="str">
        <x:v>Crabbet-influenced</x:v>
      </x:c>
      <x:c r="N25" s="17" t="str">
        <x:v>Performance Prospect</x:v>
      </x:c>
      <x:c r="O25" s="17" t="str">
        <x:v>Promising overall type</x:v>
      </x:c>
    </x:row>
    <x:row r="26">
      <x:c r="A26" s="17" t="str">
        <x:v>HA-025</x:v>
      </x:c>
      <x:c r="B26" s="17" t="str">
        <x:v>HA Tariq Legacy</x:v>
      </x:c>
      <x:c r="C26" s="17" t="str">
        <x:v>Tariq</x:v>
      </x:c>
      <x:c r="D26" s="17" t="str">
        <x:v>Gelding</x:v>
      </x:c>
      <x:c r="E26" s="17" t="n">
        <x:v>2021</x:v>
      </x:c>
      <x:c r="F26" s="17" t="str">
        <x:v>Mature</x:v>
      </x:c>
      <x:c r="G26" s="17" t="str">
        <x:v>Flea-bitten Grey</x:v>
      </x:c>
      <x:c r="H26" s="17" t="str">
        <x:v>USA</x:v>
      </x:c>
      <x:c r="I26" s="17" t="str">
        <x:v>Van Gogh AM</x:v>
      </x:c>
      <x:c r="J26" s="17" t="str">
        <x:v>Princess Mirage AM</x:v>
      </x:c>
      <x:c r="K26" s="17" t="str">
        <x:v>El Nabila B</x:v>
      </x:c>
      <x:c r="L26" s="17" t="str">
        <x:v>Brazilian/International</x:v>
      </x:c>
      <x:c r="M26" s="17" t="str">
        <x:v>Polish</x:v>
      </x:c>
      <x:c r="N26" s="17" t="str">
        <x:v>Youth/Amateur</x:v>
      </x:c>
      <x:c r="O26" s="17" t="str">
        <x:v>Needs maturity</x:v>
      </x:c>
    </x:row>
    <x:row r="27">
      <x:c r="A27" s="17" t="str">
        <x:v>HA-026</x:v>
      </x:c>
      <x:c r="B27" s="17" t="str">
        <x:v>HA Luna Amethyst</x:v>
      </x:c>
      <x:c r="C27" s="17" t="str">
        <x:v>Luna</x:v>
      </x:c>
      <x:c r="D27" s="17" t="str">
        <x:v>Mare</x:v>
      </x:c>
      <x:c r="E27" s="17" t="n">
        <x:v>2020</x:v>
      </x:c>
      <x:c r="F27" s="17" t="str">
        <x:v>Mature</x:v>
      </x:c>
      <x:c r="G27" s="17" t="str">
        <x:v>Dark Bay</x:v>
      </x:c>
      <x:c r="H27" s="17" t="str">
        <x:v>USA</x:v>
      </x:c>
      <x:c r="I27" s="17" t="str">
        <x:v>Abha Qatar</x:v>
      </x:c>
      <x:c r="J27" s="17" t="str">
        <x:v>Sultana Qatar HA</x:v>
      </x:c>
      <x:c r="K27" s="17" t="str">
        <x:v>Ali Jamaal</x:v>
      </x:c>
      <x:c r="L27" s="17" t="str">
        <x:v>Qatari/Spanish</x:v>
      </x:c>
      <x:c r="M27" s="17" t="str">
        <x:v>Polish</x:v>
      </x:c>
      <x:c r="N27" s="17" t="str">
        <x:v>Performance Prospect</x:v>
      </x:c>
      <x:c r="O27" s="17" t="str">
        <x:v>Good movement</x:v>
      </x:c>
    </x:row>
    <x:row r="28">
      <x:c r="A28" s="17" t="str">
        <x:v>HA-027</x:v>
      </x:c>
      <x:c r="B28" s="17" t="str">
        <x:v>HA Hakim Amethyst</x:v>
      </x:c>
      <x:c r="C28" s="17" t="str">
        <x:v>Hakim</x:v>
      </x:c>
      <x:c r="D28" s="17" t="str">
        <x:v>Gelding</x:v>
      </x:c>
      <x:c r="E28" s="17" t="n">
        <x:v>2024</x:v>
      </x:c>
      <x:c r="F28" s="17" t="str">
        <x:v>Junior</x:v>
      </x:c>
      <x:c r="G28" s="17" t="str">
        <x:v>Chestnut</x:v>
      </x:c>
      <x:c r="H28" s="17" t="str">
        <x:v>Spain</x:v>
      </x:c>
      <x:c r="I28" s="17" t="str">
        <x:v>Cavali by Da Valentio</x:v>
      </x:c>
      <x:c r="J28" s="17" t="str">
        <x:v>Princess Legacy AS</x:v>
      </x:c>
      <x:c r="K28" s="17" t="str">
        <x:v>Bey Shah</x:v>
      </x:c>
      <x:c r="L28" s="17" t="str">
        <x:v>Valentino/International</x:v>
      </x:c>
      <x:c r="M28" s="17" t="str">
        <x:v>International</x:v>
      </x:c>
      <x:c r="N28" s="17" t="str">
        <x:v>Youth/Amateur</x:v>
      </x:c>
      <x:c r="O28" s="17" t="str">
        <x:v>Promising overall type</x:v>
      </x:c>
    </x:row>
    <x:row r="29">
      <x:c r="A29" s="17" t="str">
        <x:v>HA-028</x:v>
      </x:c>
      <x:c r="B29" s="17" t="str">
        <x:v>HA Nashira Royal Flame</x:v>
      </x:c>
      <x:c r="C29" s="17" t="str">
        <x:v>Nashira</x:v>
      </x:c>
      <x:c r="D29" s="17" t="str">
        <x:v>Colt</x:v>
      </x:c>
      <x:c r="E29" s="17" t="n">
        <x:v>2020</x:v>
      </x:c>
      <x:c r="F29" s="17" t="str">
        <x:v>Mature</x:v>
      </x:c>
      <x:c r="G29" s="17" t="str">
        <x:v>Dark Bay</x:v>
      </x:c>
      <x:c r="H29" s="17" t="str">
        <x:v>Poland</x:v>
      </x:c>
      <x:c r="I29" s="17" t="str">
        <x:v>Cavali by Da Valentio</x:v>
      </x:c>
      <x:c r="J29" s="17" t="str">
        <x:v>Amira Qatar AS</x:v>
      </x:c>
      <x:c r="K29" s="17" t="str">
        <x:v>Gazal Al Shaqab</x:v>
      </x:c>
      <x:c r="L29" s="17" t="str">
        <x:v>Valentino/International</x:v>
      </x:c>
      <x:c r="M29" s="17" t="str">
        <x:v>Egyptian-influenced</x:v>
      </x:c>
      <x:c r="N29" s="17" t="str">
        <x:v>Show String</x:v>
      </x:c>
      <x:c r="O29" s="17" t="str">
        <x:v>Scope for conditioning</x:v>
      </x:c>
    </x:row>
    <x:row r="30">
      <x:c r="A30" s="17" t="str">
        <x:v>HA-029</x:v>
      </x:c>
      <x:c r="B30" s="17" t="str">
        <x:v>HA Rahma Al Jannat</x:v>
      </x:c>
      <x:c r="C30" s="17" t="str">
        <x:v>Rahma</x:v>
      </x:c>
      <x:c r="D30" s="17" t="str">
        <x:v>Gelding</x:v>
      </x:c>
      <x:c r="E30" s="17" t="n">
        <x:v>2021</x:v>
      </x:c>
      <x:c r="F30" s="17" t="str">
        <x:v>Mature</x:v>
      </x:c>
      <x:c r="G30" s="17" t="str">
        <x:v>Chestnut</x:v>
      </x:c>
      <x:c r="H30" s="17" t="str">
        <x:v>USA</x:v>
      </x:c>
      <x:c r="I30" s="17" t="str">
        <x:v>Pogrom</x:v>
      </x:c>
      <x:c r="J30" s="17" t="str">
        <x:v>Princess Mirage AM</x:v>
      </x:c>
      <x:c r="K30" s="17" t="str">
        <x:v>Ali Jamaal</x:v>
      </x:c>
      <x:c r="L30" s="17" t="str">
        <x:v>Polish/International</x:v>
      </x:c>
      <x:c r="M30" s="17" t="str">
        <x:v>Domestic</x:v>
      </x:c>
      <x:c r="N30" s="17" t="str">
        <x:v>Youth/Amateur</x:v>
      </x:c>
      <x:c r="O30" s="17" t="str">
        <x:v>Balanced profile</x:v>
      </x:c>
    </x:row>
    <x:row r="31">
      <x:c r="A31" s="17" t="str">
        <x:v>HA-030</x:v>
      </x:c>
      <x:c r="B31" s="17" t="str">
        <x:v>HA Zayd Royal Flame</x:v>
      </x:c>
      <x:c r="C31" s="17" t="str">
        <x:v>Zayd</x:v>
      </x:c>
      <x:c r="D31" s="17" t="str">
        <x:v>Filly</x:v>
      </x:c>
      <x:c r="E31" s="17" t="n">
        <x:v>2024</x:v>
      </x:c>
      <x:c r="F31" s="17" t="str">
        <x:v>Junior</x:v>
      </x:c>
      <x:c r="G31" s="17" t="str">
        <x:v>Bay</x:v>
      </x:c>
      <x:c r="H31" s="17" t="str">
        <x:v>Qatar</x:v>
      </x:c>
      <x:c r="I31" s="17" t="str">
        <x:v>Pogrom</x:v>
      </x:c>
      <x:c r="J31" s="17" t="str">
        <x:v>Bint Sahara AS</x:v>
      </x:c>
      <x:c r="K31" s="17" t="str">
        <x:v>Gazal Al Shaqab</x:v>
      </x:c>
      <x:c r="L31" s="17" t="str">
        <x:v>Polish/International</x:v>
      </x:c>
      <x:c r="M31" s="17" t="str">
        <x:v>Polish</x:v>
      </x:c>
      <x:c r="N31" s="17" t="str">
        <x:v>Foundation Mare</x:v>
      </x:c>
      <x:c r="O31" s="17" t="str">
        <x:v>Promising overall type</x:v>
      </x:c>
    </x:row>
    <x:row r="32">
      <x:c r="A32" s="17" t="str">
        <x:v>HA-031</x:v>
      </x:c>
      <x:c r="B32" s="17" t="str">
        <x:v>HA Mira Valentino</x:v>
      </x:c>
      <x:c r="C32" s="17" t="str">
        <x:v>Mira</x:v>
      </x:c>
      <x:c r="D32" s="17" t="str">
        <x:v>Colt</x:v>
      </x:c>
      <x:c r="E32" s="17" t="n">
        <x:v>2020</x:v>
      </x:c>
      <x:c r="F32" s="17" t="str">
        <x:v>Mature</x:v>
      </x:c>
      <x:c r="G32" s="17" t="str">
        <x:v>Bay</x:v>
      </x:c>
      <x:c r="H32" s="17" t="str">
        <x:v>Brazil</x:v>
      </x:c>
      <x:c r="I32" s="17" t="str">
        <x:v>Cavali by Da Valentio</x:v>
      </x:c>
      <x:c r="J32" s="17" t="str">
        <x:v>Belle Amar HA</x:v>
      </x:c>
      <x:c r="K32" s="17" t="str">
        <x:v>Versace</x:v>
      </x:c>
      <x:c r="L32" s="17" t="str">
        <x:v>Valentino/International</x:v>
      </x:c>
      <x:c r="M32" s="17" t="str">
        <x:v>International</x:v>
      </x:c>
      <x:c r="N32" s="17" t="str">
        <x:v>Performance Prospect</x:v>
      </x:c>
      <x:c r="O32" s="17" t="str">
        <x:v>Strong head and neck</x:v>
      </x:c>
    </x:row>
    <x:row r="33">
      <x:c r="A33" s="17" t="str">
        <x:v>HA-032</x:v>
      </x:c>
      <x:c r="B33" s="17" t="str">
        <x:v>HA Kamal Al Jannat</x:v>
      </x:c>
      <x:c r="C33" s="17" t="str">
        <x:v>Kamal</x:v>
      </x:c>
      <x:c r="D33" s="17" t="str">
        <x:v>Mare</x:v>
      </x:c>
      <x:c r="E33" s="17" t="n">
        <x:v>2021</x:v>
      </x:c>
      <x:c r="F33" s="17" t="str">
        <x:v>Mature</x:v>
      </x:c>
      <x:c r="G33" s="17" t="str">
        <x:v>Bay</x:v>
      </x:c>
      <x:c r="H33" s="17" t="str">
        <x:v>Poland</x:v>
      </x:c>
      <x:c r="I33" s="17" t="str">
        <x:v>Titan AS</x:v>
      </x:c>
      <x:c r="J33" s="17" t="str">
        <x:v>Princess Mirage AS</x:v>
      </x:c>
      <x:c r="K33" s="17" t="str">
        <x:v>Magnum Psyche</x:v>
      </x:c>
      <x:c r="L33" s="17" t="str">
        <x:v>American/International</x:v>
      </x:c>
      <x:c r="M33" s="17" t="str">
        <x:v>Spanish</x:v>
      </x:c>
      <x:c r="N33" s="17" t="str">
        <x:v>Performance Prospect</x:v>
      </x:c>
      <x:c r="O33" s="17" t="str">
        <x:v>Needs maturity</x:v>
      </x:c>
    </x:row>
    <x:row r="34">
      <x:c r="A34" s="17" t="str">
        <x:v>HA-033</x:v>
      </x:c>
      <x:c r="B34" s="17" t="str">
        <x:v>HA Asha Pearl</x:v>
      </x:c>
      <x:c r="C34" s="17" t="str">
        <x:v>Asha</x:v>
      </x:c>
      <x:c r="D34" s="17" t="str">
        <x:v>Stallion</x:v>
      </x:c>
      <x:c r="E34" s="17" t="n">
        <x:v>2024</x:v>
      </x:c>
      <x:c r="F34" s="17" t="str">
        <x:v>Junior</x:v>
      </x:c>
      <x:c r="G34" s="17" t="str">
        <x:v>Chestnut</x:v>
      </x:c>
      <x:c r="H34" s="17" t="str">
        <x:v>Spain</x:v>
      </x:c>
      <x:c r="I34" s="17" t="str">
        <x:v>Pogrom</x:v>
      </x:c>
      <x:c r="J34" s="17" t="str">
        <x:v>Belle Valentino RA</x:v>
      </x:c>
      <x:c r="K34" s="17" t="str">
        <x:v>Marwan Al Shaqab</x:v>
      </x:c>
      <x:c r="L34" s="17" t="str">
        <x:v>Polish/International</x:v>
      </x:c>
      <x:c r="M34" s="17" t="str">
        <x:v>Polish</x:v>
      </x:c>
      <x:c r="N34" s="17" t="str">
        <x:v>Youth/Amateur</x:v>
      </x:c>
      <x:c r="O34" s="17" t="str">
        <x:v>Needs maturity</x:v>
      </x:c>
    </x:row>
    <x:row r="35">
      <x:c r="A35" s="17" t="str">
        <x:v>HA-034</x:v>
      </x:c>
      <x:c r="B35" s="17" t="str">
        <x:v>HA Rami Royal Flame</x:v>
      </x:c>
      <x:c r="C35" s="17" t="str">
        <x:v>Rami</x:v>
      </x:c>
      <x:c r="D35" s="17" t="str">
        <x:v>Stallion</x:v>
      </x:c>
      <x:c r="E35" s="17" t="n">
        <x:v>2021</x:v>
      </x:c>
      <x:c r="F35" s="17" t="str">
        <x:v>Mature</x:v>
      </x:c>
      <x:c r="G35" s="17" t="str">
        <x:v>Flea-bitten Grey</x:v>
      </x:c>
      <x:c r="H35" s="17" t="str">
        <x:v>USA</x:v>
      </x:c>
      <x:c r="I35" s="17" t="str">
        <x:v>Pogrom</x:v>
      </x:c>
      <x:c r="J35" s="17" t="str">
        <x:v>Lady Noor HA</x:v>
      </x:c>
      <x:c r="K35" s="17" t="str">
        <x:v>Bey Shah</x:v>
      </x:c>
      <x:c r="L35" s="17" t="str">
        <x:v>Polish/International</x:v>
      </x:c>
      <x:c r="M35" s="17" t="str">
        <x:v>Polish</x:v>
      </x:c>
      <x:c r="N35" s="17" t="str">
        <x:v>Breeding Prospect</x:v>
      </x:c>
      <x:c r="O35" s="17" t="str">
        <x:v>Needs maturity</x:v>
      </x:c>
    </x:row>
    <x:row r="36">
      <x:c r="A36" s="17" t="str">
        <x:v>HA-035</x:v>
      </x:c>
      <x:c r="B36" s="17" t="str">
        <x:v>HA Yara Dream</x:v>
      </x:c>
      <x:c r="C36" s="17" t="str">
        <x:v>Yara</x:v>
      </x:c>
      <x:c r="D36" s="17" t="str">
        <x:v>Stallion</x:v>
      </x:c>
      <x:c r="E36" s="17" t="n">
        <x:v>2021</x:v>
      </x:c>
      <x:c r="F36" s="17" t="str">
        <x:v>Mature</x:v>
      </x:c>
      <x:c r="G36" s="17" t="str">
        <x:v>Flea-bitten Grey</x:v>
      </x:c>
      <x:c r="H36" s="17" t="str">
        <x:v>Qatar</x:v>
      </x:c>
      <x:c r="I36" s="17" t="str">
        <x:v>Pogrom</x:v>
      </x:c>
      <x:c r="J36" s="17" t="str">
        <x:v>Jewel Noor AM</x:v>
      </x:c>
      <x:c r="K36" s="17" t="str">
        <x:v>Gazal Al Shaqab</x:v>
      </x:c>
      <x:c r="L36" s="17" t="str">
        <x:v>Polish/International</x:v>
      </x:c>
      <x:c r="M36" s="17" t="str">
        <x:v>Egyptian-influenced</x:v>
      </x:c>
      <x:c r="N36" s="17" t="str">
        <x:v>Youth/Amateur</x:v>
      </x:c>
      <x:c r="O36" s="17" t="str">
        <x:v>Good movement</x:v>
      </x:c>
    </x:row>
    <x:row r="37">
      <x:c r="A37" s="17" t="str">
        <x:v>HA-036</x:v>
      </x:c>
      <x:c r="B37" s="17" t="str">
        <x:v>HA Omar Golden Star</x:v>
      </x:c>
      <x:c r="C37" s="17" t="str">
        <x:v>Omar</x:v>
      </x:c>
      <x:c r="D37" s="17" t="str">
        <x:v>Filly</x:v>
      </x:c>
      <x:c r="E37" s="17" t="n">
        <x:v>2023</x:v>
      </x:c>
      <x:c r="F37" s="17" t="str">
        <x:v>Young Horse</x:v>
      </x:c>
      <x:c r="G37" s="17" t="str">
        <x:v>Dark Bay</x:v>
      </x:c>
      <x:c r="H37" s="17" t="str">
        <x:v>USA</x:v>
      </x:c>
      <x:c r="I37" s="17" t="str">
        <x:v>Abha Qatar</x:v>
      </x:c>
      <x:c r="J37" s="17" t="str">
        <x:v>Princess Hammad HA</x:v>
      </x:c>
      <x:c r="K37" s="17" t="str">
        <x:v>Gazal Al Shaqab</x:v>
      </x:c>
      <x:c r="L37" s="17" t="str">
        <x:v>Qatari/Spanish</x:v>
      </x:c>
      <x:c r="M37" s="17" t="str">
        <x:v>Polish</x:v>
      </x:c>
      <x:c r="N37" s="17" t="str">
        <x:v>Performance Prospect</x:v>
      </x:c>
      <x:c r="O37" s="17" t="str">
        <x:v>Good movement</x:v>
      </x:c>
    </x:row>
    <x:row r="38">
      <x:c r="A38" s="17" t="str">
        <x:v>HA-037</x:v>
      </x:c>
      <x:c r="B38" s="17" t="str">
        <x:v>HA Selena El Noor</x:v>
      </x:c>
      <x:c r="C38" s="17" t="str">
        <x:v>Selena</x:v>
      </x:c>
      <x:c r="D38" s="17" t="str">
        <x:v>Colt</x:v>
      </x:c>
      <x:c r="E38" s="17" t="n">
        <x:v>2022</x:v>
      </x:c>
      <x:c r="F38" s="17" t="str">
        <x:v>Young Horse</x:v>
      </x:c>
      <x:c r="G38" s="17" t="str">
        <x:v>Flea-bitten Grey</x:v>
      </x:c>
      <x:c r="H38" s="17" t="str">
        <x:v>USA</x:v>
      </x:c>
      <x:c r="I38" s="17" t="str">
        <x:v>Abha Qatar</x:v>
      </x:c>
      <x:c r="J38" s="17" t="str">
        <x:v>Princess Noor HA</x:v>
      </x:c>
      <x:c r="K38" s="17" t="str">
        <x:v>El Nabila B</x:v>
      </x:c>
      <x:c r="L38" s="17" t="str">
        <x:v>Qatari/Spanish</x:v>
      </x:c>
      <x:c r="M38" s="17" t="str">
        <x:v>International</x:v>
      </x:c>
      <x:c r="N38" s="17" t="str">
        <x:v>Breeding Prospect</x:v>
      </x:c>
      <x:c r="O38" s="17" t="str">
        <x:v>Good movement</x:v>
      </x:c>
    </x:row>
    <x:row r="39">
      <x:c r="A39" s="17" t="str">
        <x:v>HA-038</x:v>
      </x:c>
      <x:c r="B39" s="17" t="str">
        <x:v>HA Nasim Pearl</x:v>
      </x:c>
      <x:c r="C39" s="17" t="str">
        <x:v>Nasim</x:v>
      </x:c>
      <x:c r="D39" s="17" t="str">
        <x:v>Filly</x:v>
      </x:c>
      <x:c r="E39" s="17" t="n">
        <x:v>2020</x:v>
      </x:c>
      <x:c r="F39" s="17" t="str">
        <x:v>Mature</x:v>
      </x:c>
      <x:c r="G39" s="17" t="str">
        <x:v>Dark Bay</x:v>
      </x:c>
      <x:c r="H39" s="17" t="str">
        <x:v>USA</x:v>
      </x:c>
      <x:c r="I39" s="17" t="str">
        <x:v>Abha Qatar</x:v>
      </x:c>
      <x:c r="J39" s="17" t="str">
        <x:v>Jewel Sahara RA</x:v>
      </x:c>
      <x:c r="K39" s="17" t="str">
        <x:v>Magnum Psyche</x:v>
      </x:c>
      <x:c r="L39" s="17" t="str">
        <x:v>Qatari/Spanish</x:v>
      </x:c>
      <x:c r="M39" s="17" t="str">
        <x:v>Crabbet-influenced</x:v>
      </x:c>
      <x:c r="N39" s="17" t="str">
        <x:v>Youth/Amateur</x:v>
      </x:c>
      <x:c r="O39" s="17" t="str">
        <x:v>Promising overall type</x:v>
      </x:c>
    </x:row>
    <x:row r="40">
      <x:c r="A40" s="17" t="str">
        <x:v>HA-039</x:v>
      </x:c>
      <x:c r="B40" s="17" t="str">
        <x:v>HA Leila Royal Flame</x:v>
      </x:c>
      <x:c r="C40" s="17" t="str">
        <x:v>Leila</x:v>
      </x:c>
      <x:c r="D40" s="17" t="str">
        <x:v>Mare</x:v>
      </x:c>
      <x:c r="E40" s="17" t="n">
        <x:v>2023</x:v>
      </x:c>
      <x:c r="F40" s="17" t="str">
        <x:v>Young Horse</x:v>
      </x:c>
      <x:c r="G40" s="17" t="str">
        <x:v>Grey</x:v>
      </x:c>
      <x:c r="H40" s="17" t="str">
        <x:v>USA</x:v>
      </x:c>
      <x:c r="I40" s="17" t="str">
        <x:v>Pogrom</x:v>
      </x:c>
      <x:c r="J40" s="17" t="str">
        <x:v>Noura Legacy RA</x:v>
      </x:c>
      <x:c r="K40" s="17" t="str">
        <x:v>Versace</x:v>
      </x:c>
      <x:c r="L40" s="17" t="str">
        <x:v>Polish/International</x:v>
      </x:c>
      <x:c r="M40" s="17" t="str">
        <x:v>Domestic</x:v>
      </x:c>
      <x:c r="N40" s="17" t="str">
        <x:v>Youth/Amateur</x:v>
      </x:c>
      <x:c r="O40" s="17" t="str">
        <x:v>Promising overall type</x:v>
      </x:c>
    </x:row>
    <x:row r="41">
      <x:c r="A41" s="17" t="str">
        <x:v>HA-040</x:v>
      </x:c>
      <x:c r="B41" s="17" t="str">
        <x:v>HA Kairo Marquis</x:v>
      </x:c>
      <x:c r="C41" s="17" t="str">
        <x:v>Kairo</x:v>
      </x:c>
      <x:c r="D41" s="17" t="str">
        <x:v>Filly</x:v>
      </x:c>
      <x:c r="E41" s="17" t="n">
        <x:v>2023</x:v>
      </x:c>
      <x:c r="F41" s="17" t="str">
        <x:v>Young Horse</x:v>
      </x:c>
      <x:c r="G41" s="17" t="str">
        <x:v>Black</x:v>
      </x:c>
      <x:c r="H41" s="17" t="str">
        <x:v>USA</x:v>
      </x:c>
      <x:c r="I41" s="17" t="str">
        <x:v>Pogrom</x:v>
      </x:c>
      <x:c r="J41" s="17" t="str">
        <x:v>Belle Rose AM</x:v>
      </x:c>
      <x:c r="K41" s="17" t="str">
        <x:v>El Nabila B</x:v>
      </x:c>
      <x:c r="L41" s="17" t="str">
        <x:v>Polish/International</x:v>
      </x:c>
      <x:c r="M41" s="17" t="str">
        <x:v>International</x:v>
      </x:c>
      <x:c r="N41" s="17" t="str">
        <x:v>Show String</x:v>
      </x:c>
      <x:c r="O41" s="17" t="str">
        <x:v>Good movement</x:v>
      </x:c>
    </x:row>
  </x:sheetData>
  <x:dataValidations count="3">
    <x:dataValidation type="list" sqref="D2:D41">
      <x:formula1>"Mare,Stallion,Gelding,Filly,Colt"</x:formula1>
    </x:dataValidation>
    <x:dataValidation type="list" sqref="F2:F41">
      <x:formula1>"Junior,Young Horse,Mature"</x:formula1>
    </x:dataValidation>
    <x:dataValidation type="list" sqref="I2:I41">
      <x:formula1>"Pogrom,Abha Qatar,Van Gogh AM,Titan AS,Cavali by Da Valentio"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c6e64bfaf446e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38" hidden="0" customWidth="1"/>
  </x:cols>
  <x:sheetData>
    <x:row r="1">
      <x:c r="A1" s="16" t="str">
        <x:v>ScoreID</x:v>
      </x:c>
      <x:c r="B1" s="16" t="str">
        <x:v>HorseID</x:v>
      </x:c>
      <x:c r="C1" s="16" t="str">
        <x:v>RegisteredName</x:v>
      </x:c>
      <x:c r="D1" s="16" t="str">
        <x:v>Judge</x:v>
      </x:c>
      <x:c r="E1" s="16" t="str">
        <x:v>Type</x:v>
      </x:c>
      <x:c r="F1" s="16" t="str">
        <x:v>Head_Neck</x:v>
      </x:c>
      <x:c r="G1" s="16" t="str">
        <x:v>Body_Topline</x:v>
      </x:c>
      <x:c r="H1" s="16" t="str">
        <x:v>Legs</x:v>
      </x:c>
      <x:c r="I1" s="16" t="str">
        <x:v>Movement</x:v>
      </x:c>
      <x:c r="J1" s="16" t="str">
        <x:v>Balance</x:v>
      </x:c>
      <x:c r="K1" s="16" t="str">
        <x:v>TotalScore</x:v>
      </x:c>
      <x:c r="L1" s="16" t="str">
        <x:v>JudgeComments</x:v>
      </x:c>
    </x:row>
    <x:row r="2">
      <x:c r="A2" s="17" t="str">
        <x:v>SC-0001</x:v>
      </x:c>
      <x:c r="B2" s="17" t="str">
        <x:v>HA-001</x:v>
      </x:c>
      <x:c r="C2" s="17" t="str">
        <x:v>HA Amira Legacy</x:v>
      </x:c>
      <x:c r="D2" s="17" t="str">
        <x:v>Judge A</x:v>
      </x:c>
      <x:c r="E2" s="20" t="n">
        <x:v>19.9</x:v>
      </x:c>
      <x:c r="F2" s="20" t="n">
        <x:v>20</x:v>
      </x:c>
      <x:c r="G2" s="20" t="n">
        <x:v>18.5</x:v>
      </x:c>
      <x:c r="H2" s="20" t="n">
        <x:v>18.1</x:v>
      </x:c>
      <x:c r="I2" s="20" t="n">
        <x:v>18.2</x:v>
      </x:c>
      <x:c r="J2" s="20" t="n">
        <x:v>19.8</x:v>
      </x:c>
      <x:c r="K2" s="20" t="n">
        <x:f>SUM(E2:J2)</x:f>
        <x:v>114.5</x:v>
      </x:c>
      <x:c r="L2" s="17" t="str">
        <x:v>Solid score pattern; useful for bloodline comparison.</x:v>
      </x:c>
    </x:row>
    <x:row r="3">
      <x:c r="A3" s="17" t="str">
        <x:v>SC-0002</x:v>
      </x:c>
      <x:c r="B3" s="17" t="str">
        <x:v>HA-001</x:v>
      </x:c>
      <x:c r="C3" s="17" t="str">
        <x:v>HA Amira Legacy</x:v>
      </x:c>
      <x:c r="D3" s="17" t="str">
        <x:v>Judge B</x:v>
      </x:c>
      <x:c r="E3" s="20" t="n">
        <x:v>17</x:v>
      </x:c>
      <x:c r="F3" s="20" t="n">
        <x:v>19</x:v>
      </x:c>
      <x:c r="G3" s="20" t="n">
        <x:v>19.2</x:v>
      </x:c>
      <x:c r="H3" s="20" t="n">
        <x:v>17.9</x:v>
      </x:c>
      <x:c r="I3" s="20" t="n">
        <x:v>20</x:v>
      </x:c>
      <x:c r="J3" s="20" t="n">
        <x:v>19.6</x:v>
      </x:c>
      <x:c r="K3" s="20" t="n">
        <x:f>SUM(E3:J3)</x:f>
        <x:v>112.69999999999999</x:v>
      </x:c>
      <x:c r="L3" s="17" t="str">
        <x:v>Shows promise across multiple halter traits.</x:v>
      </x:c>
    </x:row>
    <x:row r="4">
      <x:c r="A4" s="17" t="str">
        <x:v>SC-0003</x:v>
      </x:c>
      <x:c r="B4" s="17" t="str">
        <x:v>HA-001</x:v>
      </x:c>
      <x:c r="C4" s="17" t="str">
        <x:v>HA Amira Legacy</x:v>
      </x:c>
      <x:c r="D4" s="17" t="str">
        <x:v>Judge C</x:v>
      </x:c>
      <x:c r="E4" s="20" t="n">
        <x:v>18.7</x:v>
      </x:c>
      <x:c r="F4" s="20" t="n">
        <x:v>18.1</x:v>
      </x:c>
      <x:c r="G4" s="20" t="n">
        <x:v>19.6</x:v>
      </x:c>
      <x:c r="H4" s="20" t="n">
        <x:v>18.1</x:v>
      </x:c>
      <x:c r="I4" s="20" t="n">
        <x:v>18.6</x:v>
      </x:c>
      <x:c r="J4" s="20" t="n">
        <x:v>20</x:v>
      </x:c>
      <x:c r="K4" s="20" t="n">
        <x:f>SUM(E4:J4)</x:f>
        <x:v>113.1</x:v>
      </x:c>
      <x:c r="L4" s="17" t="str">
        <x:v>Good quality; monitor consistency across traits.</x:v>
      </x:c>
    </x:row>
    <x:row r="5">
      <x:c r="A5" s="17" t="str">
        <x:v>SC-0004</x:v>
      </x:c>
      <x:c r="B5" s="17" t="str">
        <x:v>HA-002</x:v>
      </x:c>
      <x:c r="C5" s="17" t="str">
        <x:v>HA Basir Royal Flame</x:v>
      </x:c>
      <x:c r="D5" s="17" t="str">
        <x:v>Judge A</x:v>
      </x:c>
      <x:c r="E5" s="20" t="n">
        <x:v>19.9</x:v>
      </x:c>
      <x:c r="F5" s="20" t="n">
        <x:v>18.5</x:v>
      </x:c>
      <x:c r="G5" s="20" t="n">
        <x:v>19.8</x:v>
      </x:c>
      <x:c r="H5" s="20" t="n">
        <x:v>19</x:v>
      </x:c>
      <x:c r="I5" s="20" t="n">
        <x:v>19.1</x:v>
      </x:c>
      <x:c r="J5" s="20" t="n">
        <x:v>17.7</x:v>
      </x:c>
      <x:c r="K5" s="20" t="n">
        <x:f>SUM(E5:J5)</x:f>
        <x:v>114.00000000000001</x:v>
      </x:c>
      <x:c r="L5" s="17" t="str">
        <x:v>Strong presence with balanced strengths.</x:v>
      </x:c>
    </x:row>
    <x:row r="6">
      <x:c r="A6" s="17" t="str">
        <x:v>SC-0005</x:v>
      </x:c>
      <x:c r="B6" s="17" t="str">
        <x:v>HA-002</x:v>
      </x:c>
      <x:c r="C6" s="17" t="str">
        <x:v>HA Basir Royal Flame</x:v>
      </x:c>
      <x:c r="D6" s="17" t="str">
        <x:v>Judge B</x:v>
      </x:c>
      <x:c r="E6" s="20" t="n">
        <x:v>20</x:v>
      </x:c>
      <x:c r="F6" s="20" t="n">
        <x:v>16.9</x:v>
      </x:c>
      <x:c r="G6" s="20" t="n">
        <x:v>19</x:v>
      </x:c>
      <x:c r="H6" s="20" t="n">
        <x:v>20</x:v>
      </x:c>
      <x:c r="I6" s="20" t="n">
        <x:v>17.2</x:v>
      </x:c>
      <x:c r="J6" s="20" t="n">
        <x:v>18</x:v>
      </x:c>
      <x:c r="K6" s="20" t="n">
        <x:f>SUM(E6:J6)</x:f>
        <x:v>111.10000000000001</x:v>
      </x:c>
      <x:c r="L6" s="17" t="str">
        <x:v>Attractive profile and useful movement.</x:v>
      </x:c>
    </x:row>
    <x:row r="7">
      <x:c r="A7" s="17" t="str">
        <x:v>SC-0006</x:v>
      </x:c>
      <x:c r="B7" s="17" t="str">
        <x:v>HA-002</x:v>
      </x:c>
      <x:c r="C7" s="17" t="str">
        <x:v>HA Basir Royal Flame</x:v>
      </x:c>
      <x:c r="D7" s="17" t="str">
        <x:v>Judge C</x:v>
      </x:c>
      <x:c r="E7" s="20" t="n">
        <x:v>17.2</x:v>
      </x:c>
      <x:c r="F7" s="20" t="n">
        <x:v>15.3</x:v>
      </x:c>
      <x:c r="G7" s="20" t="n">
        <x:v>19.6</x:v>
      </x:c>
      <x:c r="H7" s="20" t="n">
        <x:v>17.1</x:v>
      </x:c>
      <x:c r="I7" s="20" t="n">
        <x:v>19.5</x:v>
      </x:c>
      <x:c r="J7" s="20" t="n">
        <x:v>17.3</x:v>
      </x:c>
      <x:c r="K7" s="20" t="n">
        <x:f>SUM(E7:J7)</x:f>
        <x:v>106</x:v>
      </x:c>
      <x:c r="L7" s="17" t="str">
        <x:v>Attractive profile and useful movement.</x:v>
      </x:c>
    </x:row>
    <x:row r="8">
      <x:c r="A8" s="17" t="str">
        <x:v>SC-0007</x:v>
      </x:c>
      <x:c r="B8" s="17" t="str">
        <x:v>HA-003</x:v>
      </x:c>
      <x:c r="C8" s="17" t="str">
        <x:v>HA Nadir Sundance</x:v>
      </x:c>
      <x:c r="D8" s="17" t="str">
        <x:v>Judge A</x:v>
      </x:c>
      <x:c r="E8" s="20" t="n">
        <x:v>16.4</x:v>
      </x:c>
      <x:c r="F8" s="20" t="n">
        <x:v>19.2</x:v>
      </x:c>
      <x:c r="G8" s="20" t="n">
        <x:v>17.9</x:v>
      </x:c>
      <x:c r="H8" s="20" t="n">
        <x:v>16.4</x:v>
      </x:c>
      <x:c r="I8" s="20" t="n">
        <x:v>17.9</x:v>
      </x:c>
      <x:c r="J8" s="20" t="n">
        <x:v>17.1</x:v>
      </x:c>
      <x:c r="K8" s="20" t="n">
        <x:f>SUM(E8:J8)</x:f>
        <x:v>104.89999999999998</x:v>
      </x:c>
      <x:c r="L8" s="17" t="str">
        <x:v>Strong presence with balanced strengths.</x:v>
      </x:c>
    </x:row>
    <x:row r="9">
      <x:c r="A9" s="17" t="str">
        <x:v>SC-0008</x:v>
      </x:c>
      <x:c r="B9" s="17" t="str">
        <x:v>HA-003</x:v>
      </x:c>
      <x:c r="C9" s="17" t="str">
        <x:v>HA Nadir Sundance</x:v>
      </x:c>
      <x:c r="D9" s="17" t="str">
        <x:v>Judge B</x:v>
      </x:c>
      <x:c r="E9" s="20" t="n">
        <x:v>18.4</x:v>
      </x:c>
      <x:c r="F9" s="20" t="n">
        <x:v>18.9</x:v>
      </x:c>
      <x:c r="G9" s="20" t="n">
        <x:v>18.4</x:v>
      </x:c>
      <x:c r="H9" s="20" t="n">
        <x:v>17.9</x:v>
      </x:c>
      <x:c r="I9" s="20" t="n">
        <x:v>17.9</x:v>
      </x:c>
      <x:c r="J9" s="20" t="n">
        <x:v>18.8</x:v>
      </x:c>
      <x:c r="K9" s="20" t="n">
        <x:f>SUM(E9:J9)</x:f>
        <x:v>110.3</x:v>
      </x:c>
      <x:c r="L9" s="17" t="str">
        <x:v>Shows promise across multiple halter traits.</x:v>
      </x:c>
    </x:row>
    <x:row r="10">
      <x:c r="A10" s="17" t="str">
        <x:v>SC-0009</x:v>
      </x:c>
      <x:c r="B10" s="17" t="str">
        <x:v>HA-003</x:v>
      </x:c>
      <x:c r="C10" s="17" t="str">
        <x:v>HA Nadir Sundance</x:v>
      </x:c>
      <x:c r="D10" s="17" t="str">
        <x:v>Judge C</x:v>
      </x:c>
      <x:c r="E10" s="20" t="n">
        <x:v>20</x:v>
      </x:c>
      <x:c r="F10" s="20" t="n">
        <x:v>18.5</x:v>
      </x:c>
      <x:c r="G10" s="20" t="n">
        <x:v>18.1</x:v>
      </x:c>
      <x:c r="H10" s="20" t="n">
        <x:v>16.8</x:v>
      </x:c>
      <x:c r="I10" s="20" t="n">
        <x:v>18.2</x:v>
      </x:c>
      <x:c r="J10" s="20" t="n">
        <x:v>16.4</x:v>
      </x:c>
      <x:c r="K10" s="20" t="n">
        <x:f>SUM(E10:J10)</x:f>
        <x:v>108</x:v>
      </x:c>
      <x:c r="L10" s="17" t="str">
        <x:v>Good quality; monitor consistency across traits.</x:v>
      </x:c>
    </x:row>
    <x:row r="11">
      <x:c r="A11" s="17" t="str">
        <x:v>SC-0010</x:v>
      </x:c>
      <x:c r="B11" s="17" t="str">
        <x:v>HA-004</x:v>
      </x:c>
      <x:c r="C11" s="17" t="str">
        <x:v>HA Layla Dream</x:v>
      </x:c>
      <x:c r="D11" s="17" t="str">
        <x:v>Judge A</x:v>
      </x:c>
      <x:c r="E11" s="20" t="n">
        <x:v>18.4</x:v>
      </x:c>
      <x:c r="F11" s="20" t="n">
        <x:v>19</x:v>
      </x:c>
      <x:c r="G11" s="20" t="n">
        <x:v>17.5</x:v>
      </x:c>
      <x:c r="H11" s="20" t="n">
        <x:v>18.5</x:v>
      </x:c>
      <x:c r="I11" s="20" t="n">
        <x:v>18.1</x:v>
      </x:c>
      <x:c r="J11" s="20" t="n">
        <x:v>17.5</x:v>
      </x:c>
      <x:c r="K11" s="20" t="n">
        <x:f>SUM(E11:J11)</x:f>
        <x:v>109</x:v>
      </x:c>
      <x:c r="L11" s="17" t="str">
        <x:v>Shows promise across multiple halter traits.</x:v>
      </x:c>
    </x:row>
    <x:row r="12">
      <x:c r="A12" s="17" t="str">
        <x:v>SC-0011</x:v>
      </x:c>
      <x:c r="B12" s="17" t="str">
        <x:v>HA-004</x:v>
      </x:c>
      <x:c r="C12" s="17" t="str">
        <x:v>HA Layla Dream</x:v>
      </x:c>
      <x:c r="D12" s="17" t="str">
        <x:v>Judge B</x:v>
      </x:c>
      <x:c r="E12" s="20" t="n">
        <x:v>19.6</x:v>
      </x:c>
      <x:c r="F12" s="20" t="n">
        <x:v>19.7</x:v>
      </x:c>
      <x:c r="G12" s="20" t="n">
        <x:v>19.3</x:v>
      </x:c>
      <x:c r="H12" s="20" t="n">
        <x:v>19.3</x:v>
      </x:c>
      <x:c r="I12" s="20" t="n">
        <x:v>19.8</x:v>
      </x:c>
      <x:c r="J12" s="20" t="n">
        <x:v>19.1</x:v>
      </x:c>
      <x:c r="K12" s="20" t="n">
        <x:f>SUM(E12:J12)</x:f>
        <x:v>116.79999999999998</x:v>
      </x:c>
      <x:c r="L12" s="17" t="str">
        <x:v>Solid score pattern; useful for bloodline comparison.</x:v>
      </x:c>
    </x:row>
    <x:row r="13">
      <x:c r="A13" s="17" t="str">
        <x:v>SC-0012</x:v>
      </x:c>
      <x:c r="B13" s="17" t="str">
        <x:v>HA-004</x:v>
      </x:c>
      <x:c r="C13" s="17" t="str">
        <x:v>HA Layla Dream</x:v>
      </x:c>
      <x:c r="D13" s="17" t="str">
        <x:v>Judge C</x:v>
      </x:c>
      <x:c r="E13" s="20" t="n">
        <x:v>18.6</x:v>
      </x:c>
      <x:c r="F13" s="20" t="n">
        <x:v>18.2</x:v>
      </x:c>
      <x:c r="G13" s="20" t="n">
        <x:v>16.3</x:v>
      </x:c>
      <x:c r="H13" s="20" t="n">
        <x:v>19</x:v>
      </x:c>
      <x:c r="I13" s="20" t="n">
        <x:v>19</x:v>
      </x:c>
      <x:c r="J13" s="20" t="n">
        <x:v>19.5</x:v>
      </x:c>
      <x:c r="K13" s="20" t="n">
        <x:f>SUM(E13:J13)</x:f>
        <x:v>110.6</x:v>
      </x:c>
      <x:c r="L13" s="17" t="str">
        <x:v>Nice outline with room for development.</x:v>
      </x:c>
    </x:row>
    <x:row r="14">
      <x:c r="A14" s="17" t="str">
        <x:v>SC-0013</x:v>
      </x:c>
      <x:c r="B14" s="17" t="str">
        <x:v>HA-005</x:v>
      </x:c>
      <x:c r="C14" s="17" t="str">
        <x:v>HA Zafir Golden Star</x:v>
      </x:c>
      <x:c r="D14" s="17" t="str">
        <x:v>Judge A</x:v>
      </x:c>
      <x:c r="E14" s="20" t="n">
        <x:v>18.7</x:v>
      </x:c>
      <x:c r="F14" s="20" t="n">
        <x:v>19.8</x:v>
      </x:c>
      <x:c r="G14" s="20" t="n">
        <x:v>18.8</x:v>
      </x:c>
      <x:c r="H14" s="20" t="n">
        <x:v>17.3</x:v>
      </x:c>
      <x:c r="I14" s="20" t="n">
        <x:v>18.3</x:v>
      </x:c>
      <x:c r="J14" s="20" t="n">
        <x:v>16.7</x:v>
      </x:c>
      <x:c r="K14" s="20" t="n">
        <x:f>SUM(E14:J14)</x:f>
        <x:v>109.6</x:v>
      </x:c>
      <x:c r="L14" s="17" t="str">
        <x:v>Nice outline with room for development.</x:v>
      </x:c>
    </x:row>
    <x:row r="15">
      <x:c r="A15" s="17" t="str">
        <x:v>SC-0014</x:v>
      </x:c>
      <x:c r="B15" s="17" t="str">
        <x:v>HA-005</x:v>
      </x:c>
      <x:c r="C15" s="17" t="str">
        <x:v>HA Zafir Golden Star</x:v>
      </x:c>
      <x:c r="D15" s="17" t="str">
        <x:v>Judge B</x:v>
      </x:c>
      <x:c r="E15" s="20" t="n">
        <x:v>18.9</x:v>
      </x:c>
      <x:c r="F15" s="20" t="n">
        <x:v>17.7</x:v>
      </x:c>
      <x:c r="G15" s="20" t="n">
        <x:v>18.5</x:v>
      </x:c>
      <x:c r="H15" s="20" t="n">
        <x:v>17.8</x:v>
      </x:c>
      <x:c r="I15" s="20" t="n">
        <x:v>18.8</x:v>
      </x:c>
      <x:c r="J15" s="20" t="n">
        <x:v>18.3</x:v>
      </x:c>
      <x:c r="K15" s="20" t="n">
        <x:f>SUM(E15:J15)</x:f>
        <x:v>109.99999999999999</x:v>
      </x:c>
      <x:c r="L15" s="17" t="str">
        <x:v>Strong presence with balanced strengths.</x:v>
      </x:c>
    </x:row>
    <x:row r="16">
      <x:c r="A16" s="17" t="str">
        <x:v>SC-0015</x:v>
      </x:c>
      <x:c r="B16" s="17" t="str">
        <x:v>HA-005</x:v>
      </x:c>
      <x:c r="C16" s="17" t="str">
        <x:v>HA Zafir Golden Star</x:v>
      </x:c>
      <x:c r="D16" s="17" t="str">
        <x:v>Judge C</x:v>
      </x:c>
      <x:c r="E16" s="20" t="n">
        <x:v>18.4</x:v>
      </x:c>
      <x:c r="F16" s="20" t="n">
        <x:v>17.1</x:v>
      </x:c>
      <x:c r="G16" s="20" t="n">
        <x:v>18.4</x:v>
      </x:c>
      <x:c r="H16" s="20" t="n">
        <x:v>15.4</x:v>
      </x:c>
      <x:c r="I16" s="20" t="n">
        <x:v>18</x:v>
      </x:c>
      <x:c r="J16" s="20" t="n">
        <x:v>18.6</x:v>
      </x:c>
      <x:c r="K16" s="20" t="n">
        <x:f>SUM(E16:J16)</x:f>
        <x:v>105.9</x:v>
      </x:c>
      <x:c r="L16" s="17" t="str">
        <x:v>Good quality; monitor consistency across traits.</x:v>
      </x:c>
    </x:row>
    <x:row r="17">
      <x:c r="A17" s="17" t="str">
        <x:v>SC-0016</x:v>
      </x:c>
      <x:c r="B17" s="17" t="str">
        <x:v>HA-006</x:v>
      </x:c>
      <x:c r="C17" s="17" t="str">
        <x:v>HA Malika Amethyst</x:v>
      </x:c>
      <x:c r="D17" s="17" t="str">
        <x:v>Judge A</x:v>
      </x:c>
      <x:c r="E17" s="20" t="n">
        <x:v>18.6</x:v>
      </x:c>
      <x:c r="F17" s="20" t="n">
        <x:v>20</x:v>
      </x:c>
      <x:c r="G17" s="20" t="n">
        <x:v>18</x:v>
      </x:c>
      <x:c r="H17" s="20" t="n">
        <x:v>18.7</x:v>
      </x:c>
      <x:c r="I17" s="20" t="n">
        <x:v>20</x:v>
      </x:c>
      <x:c r="J17" s="20" t="n">
        <x:v>18.4</x:v>
      </x:c>
      <x:c r="K17" s="20" t="n">
        <x:f>SUM(E17:J17)</x:f>
        <x:v>113.69999999999999</x:v>
      </x:c>
      <x:c r="L17" s="17" t="str">
        <x:v>Nice outline with room for development.</x:v>
      </x:c>
    </x:row>
    <x:row r="18">
      <x:c r="A18" s="17" t="str">
        <x:v>SC-0017</x:v>
      </x:c>
      <x:c r="B18" s="17" t="str">
        <x:v>HA-006</x:v>
      </x:c>
      <x:c r="C18" s="17" t="str">
        <x:v>HA Malika Amethyst</x:v>
      </x:c>
      <x:c r="D18" s="17" t="str">
        <x:v>Judge B</x:v>
      </x:c>
      <x:c r="E18" s="20" t="n">
        <x:v>18.6</x:v>
      </x:c>
      <x:c r="F18" s="20" t="n">
        <x:v>19.1</x:v>
      </x:c>
      <x:c r="G18" s="20" t="n">
        <x:v>19.7</x:v>
      </x:c>
      <x:c r="H18" s="20" t="n">
        <x:v>17.8</x:v>
      </x:c>
      <x:c r="I18" s="20" t="n">
        <x:v>17.6</x:v>
      </x:c>
      <x:c r="J18" s="20" t="n">
        <x:v>17.4</x:v>
      </x:c>
      <x:c r="K18" s="20" t="n">
        <x:f>SUM(E18:J18)</x:f>
        <x:v>110.20000000000002</x:v>
      </x:c>
      <x:c r="L18" s="17" t="str">
        <x:v>Shows promise across multiple halter traits.</x:v>
      </x:c>
    </x:row>
    <x:row r="19">
      <x:c r="A19" s="17" t="str">
        <x:v>SC-0018</x:v>
      </x:c>
      <x:c r="B19" s="17" t="str">
        <x:v>HA-006</x:v>
      </x:c>
      <x:c r="C19" s="17" t="str">
        <x:v>HA Malika Amethyst</x:v>
      </x:c>
      <x:c r="D19" s="17" t="str">
        <x:v>Judge C</x:v>
      </x:c>
      <x:c r="E19" s="20" t="n">
        <x:v>18</x:v>
      </x:c>
      <x:c r="F19" s="20" t="n">
        <x:v>18.5</x:v>
      </x:c>
      <x:c r="G19" s="20" t="n">
        <x:v>17.8</x:v>
      </x:c>
      <x:c r="H19" s="20" t="n">
        <x:v>19</x:v>
      </x:c>
      <x:c r="I19" s="20" t="n">
        <x:v>17.1</x:v>
      </x:c>
      <x:c r="J19" s="20" t="n">
        <x:v>20</x:v>
      </x:c>
      <x:c r="K19" s="20" t="n">
        <x:f>SUM(E19:J19)</x:f>
        <x:v>110.4</x:v>
      </x:c>
      <x:c r="L19" s="17" t="str">
        <x:v>Nice outline with room for development.</x:v>
      </x:c>
    </x:row>
    <x:row r="20">
      <x:c r="A20" s="17" t="str">
        <x:v>SC-0019</x:v>
      </x:c>
      <x:c r="B20" s="17" t="str">
        <x:v>HA-007</x:v>
      </x:c>
      <x:c r="C20" s="17" t="str">
        <x:v>HA Sultan Golden Star</x:v>
      </x:c>
      <x:c r="D20" s="17" t="str">
        <x:v>Judge A</x:v>
      </x:c>
      <x:c r="E20" s="20" t="n">
        <x:v>16.4</x:v>
      </x:c>
      <x:c r="F20" s="20" t="n">
        <x:v>16.3</x:v>
      </x:c>
      <x:c r="G20" s="20" t="n">
        <x:v>18</x:v>
      </x:c>
      <x:c r="H20" s="20" t="n">
        <x:v>17</x:v>
      </x:c>
      <x:c r="I20" s="20" t="n">
        <x:v>17.3</x:v>
      </x:c>
      <x:c r="J20" s="20" t="n">
        <x:v>15.2</x:v>
      </x:c>
      <x:c r="K20" s="20" t="n">
        <x:f>SUM(E20:J20)</x:f>
        <x:v>100.2</x:v>
      </x:c>
      <x:c r="L20" s="17" t="str">
        <x:v>Nice outline with room for development.</x:v>
      </x:c>
    </x:row>
    <x:row r="21">
      <x:c r="A21" s="17" t="str">
        <x:v>SC-0020</x:v>
      </x:c>
      <x:c r="B21" s="17" t="str">
        <x:v>HA-007</x:v>
      </x:c>
      <x:c r="C21" s="17" t="str">
        <x:v>HA Sultan Golden Star</x:v>
      </x:c>
      <x:c r="D21" s="17" t="str">
        <x:v>Judge B</x:v>
      </x:c>
      <x:c r="E21" s="20" t="n">
        <x:v>15.7</x:v>
      </x:c>
      <x:c r="F21" s="20" t="n">
        <x:v>16</x:v>
      </x:c>
      <x:c r="G21" s="20" t="n">
        <x:v>18.3</x:v>
      </x:c>
      <x:c r="H21" s="20" t="n">
        <x:v>16.7</x:v>
      </x:c>
      <x:c r="I21" s="20" t="n">
        <x:v>18</x:v>
      </x:c>
      <x:c r="J21" s="20" t="n">
        <x:v>16.4</x:v>
      </x:c>
      <x:c r="K21" s="20" t="n">
        <x:f>SUM(E21:J21)</x:f>
        <x:v>101.1</x:v>
      </x:c>
      <x:c r="L21" s="17" t="str">
        <x:v>Nice outline with room for development.</x:v>
      </x:c>
    </x:row>
    <x:row r="22">
      <x:c r="A22" s="17" t="str">
        <x:v>SC-0021</x:v>
      </x:c>
      <x:c r="B22" s="17" t="str">
        <x:v>HA-007</x:v>
      </x:c>
      <x:c r="C22" s="17" t="str">
        <x:v>HA Sultan Golden Star</x:v>
      </x:c>
      <x:c r="D22" s="17" t="str">
        <x:v>Judge C</x:v>
      </x:c>
      <x:c r="E22" s="20" t="n">
        <x:v>18.5</x:v>
      </x:c>
      <x:c r="F22" s="20" t="n">
        <x:v>15.9</x:v>
      </x:c>
      <x:c r="G22" s="20" t="n">
        <x:v>19.8</x:v>
      </x:c>
      <x:c r="H22" s="20" t="n">
        <x:v>18.9</x:v>
      </x:c>
      <x:c r="I22" s="20" t="n">
        <x:v>17.3</x:v>
      </x:c>
      <x:c r="J22" s="20" t="n">
        <x:v>18.7</x:v>
      </x:c>
      <x:c r="K22" s="20" t="n">
        <x:f>SUM(E22:J22)</x:f>
        <x:v>109.1</x:v>
      </x:c>
      <x:c r="L22" s="17" t="str">
        <x:v>Solid score pattern; useful for bloodline comparison.</x:v>
      </x:c>
    </x:row>
    <x:row r="23">
      <x:c r="A23" s="17" t="str">
        <x:v>SC-0022</x:v>
      </x:c>
      <x:c r="B23" s="17" t="str">
        <x:v>HA-008</x:v>
      </x:c>
      <x:c r="C23" s="17" t="str">
        <x:v>HA Noor Mirage</x:v>
      </x:c>
      <x:c r="D23" s="17" t="str">
        <x:v>Judge A</x:v>
      </x:c>
      <x:c r="E23" s="20" t="n">
        <x:v>17.7</x:v>
      </x:c>
      <x:c r="F23" s="20" t="n">
        <x:v>17.8</x:v>
      </x:c>
      <x:c r="G23" s="20" t="n">
        <x:v>16.7</x:v>
      </x:c>
      <x:c r="H23" s="20" t="n">
        <x:v>17.8</x:v>
      </x:c>
      <x:c r="I23" s="20" t="n">
        <x:v>16.2</x:v>
      </x:c>
      <x:c r="J23" s="20" t="n">
        <x:v>16.8</x:v>
      </x:c>
      <x:c r="K23" s="20" t="n">
        <x:f>SUM(E23:J23)</x:f>
        <x:v>103</x:v>
      </x:c>
      <x:c r="L23" s="17" t="str">
        <x:v>Good quality; monitor consistency across traits.</x:v>
      </x:c>
    </x:row>
    <x:row r="24">
      <x:c r="A24" s="17" t="str">
        <x:v>SC-0023</x:v>
      </x:c>
      <x:c r="B24" s="17" t="str">
        <x:v>HA-008</x:v>
      </x:c>
      <x:c r="C24" s="17" t="str">
        <x:v>HA Noor Mirage</x:v>
      </x:c>
      <x:c r="D24" s="17" t="str">
        <x:v>Judge B</x:v>
      </x:c>
      <x:c r="E24" s="20" t="n">
        <x:v>19.4</x:v>
      </x:c>
      <x:c r="F24" s="20" t="n">
        <x:v>19.2</x:v>
      </x:c>
      <x:c r="G24" s="20" t="n">
        <x:v>16.9</x:v>
      </x:c>
      <x:c r="H24" s="20" t="n">
        <x:v>15.9</x:v>
      </x:c>
      <x:c r="I24" s="20" t="n">
        <x:v>18.3</x:v>
      </x:c>
      <x:c r="J24" s="20" t="n">
        <x:v>18.3</x:v>
      </x:c>
      <x:c r="K24" s="20" t="n">
        <x:f>SUM(E24:J24)</x:f>
        <x:v>107.99999999999999</x:v>
      </x:c>
      <x:c r="L24" s="17" t="str">
        <x:v>Solid score pattern; useful for bloodline comparison.</x:v>
      </x:c>
    </x:row>
    <x:row r="25">
      <x:c r="A25" s="17" t="str">
        <x:v>SC-0024</x:v>
      </x:c>
      <x:c r="B25" s="17" t="str">
        <x:v>HA-008</x:v>
      </x:c>
      <x:c r="C25" s="17" t="str">
        <x:v>HA Noor Mirage</x:v>
      </x:c>
      <x:c r="D25" s="17" t="str">
        <x:v>Judge C</x:v>
      </x:c>
      <x:c r="E25" s="20" t="n">
        <x:v>17</x:v>
      </x:c>
      <x:c r="F25" s="20" t="n">
        <x:v>19</x:v>
      </x:c>
      <x:c r="G25" s="20" t="n">
        <x:v>16.3</x:v>
      </x:c>
      <x:c r="H25" s="20" t="n">
        <x:v>17</x:v>
      </x:c>
      <x:c r="I25" s="20" t="n">
        <x:v>17.9</x:v>
      </x:c>
      <x:c r="J25" s="20" t="n">
        <x:v>19.2</x:v>
      </x:c>
      <x:c r="K25" s="20" t="n">
        <x:f>SUM(E25:J25)</x:f>
        <x:v>106.39999999999999</x:v>
      </x:c>
      <x:c r="L25" s="17" t="str">
        <x:v>Shows promise across multiple halter traits.</x:v>
      </x:c>
    </x:row>
    <x:row r="26">
      <x:c r="A26" s="17" t="str">
        <x:v>SC-0025</x:v>
      </x:c>
      <x:c r="B26" s="17" t="str">
        <x:v>HA-009</x:v>
      </x:c>
      <x:c r="C26" s="17" t="str">
        <x:v>HA Rayan Dream</x:v>
      </x:c>
      <x:c r="D26" s="17" t="str">
        <x:v>Judge A</x:v>
      </x:c>
      <x:c r="E26" s="20" t="n">
        <x:v>19.4</x:v>
      </x:c>
      <x:c r="F26" s="20" t="n">
        <x:v>19.1</x:v>
      </x:c>
      <x:c r="G26" s="20" t="n">
        <x:v>20</x:v>
      </x:c>
      <x:c r="H26" s="20" t="n">
        <x:v>18.4</x:v>
      </x:c>
      <x:c r="I26" s="20" t="n">
        <x:v>19.8</x:v>
      </x:c>
      <x:c r="J26" s="20" t="n">
        <x:v>19.8</x:v>
      </x:c>
      <x:c r="K26" s="20" t="n">
        <x:f>SUM(E26:J26)</x:f>
        <x:v>116.5</x:v>
      </x:c>
      <x:c r="L26" s="17" t="str">
        <x:v>Solid score pattern; useful for bloodline comparison.</x:v>
      </x:c>
    </x:row>
    <x:row r="27">
      <x:c r="A27" s="17" t="str">
        <x:v>SC-0026</x:v>
      </x:c>
      <x:c r="B27" s="17" t="str">
        <x:v>HA-009</x:v>
      </x:c>
      <x:c r="C27" s="17" t="str">
        <x:v>HA Rayan Dream</x:v>
      </x:c>
      <x:c r="D27" s="17" t="str">
        <x:v>Judge B</x:v>
      </x:c>
      <x:c r="E27" s="20" t="n">
        <x:v>19.3</x:v>
      </x:c>
      <x:c r="F27" s="20" t="n">
        <x:v>18.6</x:v>
      </x:c>
      <x:c r="G27" s="20" t="n">
        <x:v>20</x:v>
      </x:c>
      <x:c r="H27" s="20" t="n">
        <x:v>17.8</x:v>
      </x:c>
      <x:c r="I27" s="20" t="n">
        <x:v>20</x:v>
      </x:c>
      <x:c r="J27" s="20" t="n">
        <x:v>18.8</x:v>
      </x:c>
      <x:c r="K27" s="20" t="n">
        <x:f>SUM(E27:J27)</x:f>
        <x:v>114.5</x:v>
      </x:c>
      <x:c r="L27" s="17" t="str">
        <x:v>Strong presence with balanced strengths.</x:v>
      </x:c>
    </x:row>
    <x:row r="28">
      <x:c r="A28" s="17" t="str">
        <x:v>SC-0027</x:v>
      </x:c>
      <x:c r="B28" s="17" t="str">
        <x:v>HA-009</x:v>
      </x:c>
      <x:c r="C28" s="17" t="str">
        <x:v>HA Rayan Dream</x:v>
      </x:c>
      <x:c r="D28" s="17" t="str">
        <x:v>Judge C</x:v>
      </x:c>
      <x:c r="E28" s="20" t="n">
        <x:v>18.9</x:v>
      </x:c>
      <x:c r="F28" s="20" t="n">
        <x:v>20</x:v>
      </x:c>
      <x:c r="G28" s="20" t="n">
        <x:v>17.1</x:v>
      </x:c>
      <x:c r="H28" s="20" t="n">
        <x:v>18.3</x:v>
      </x:c>
      <x:c r="I28" s="20" t="n">
        <x:v>20</x:v>
      </x:c>
      <x:c r="J28" s="20" t="n">
        <x:v>16.3</x:v>
      </x:c>
      <x:c r="K28" s="20" t="n">
        <x:f>SUM(E28:J28)</x:f>
        <x:v>110.6</x:v>
      </x:c>
      <x:c r="L28" s="17" t="str">
        <x:v>Solid score pattern; useful for bloodline comparison.</x:v>
      </x:c>
    </x:row>
    <x:row r="29">
      <x:c r="A29" s="17" t="str">
        <x:v>SC-0028</x:v>
      </x:c>
      <x:c r="B29" s="17" t="str">
        <x:v>HA-010</x:v>
      </x:c>
      <x:c r="C29" s="17" t="str">
        <x:v>HA Sahara Desert Rose</x:v>
      </x:c>
      <x:c r="D29" s="17" t="str">
        <x:v>Judge A</x:v>
      </x:c>
      <x:c r="E29" s="20" t="n">
        <x:v>17.4</x:v>
      </x:c>
      <x:c r="F29" s="20" t="n">
        <x:v>16.2</x:v>
      </x:c>
      <x:c r="G29" s="20" t="n">
        <x:v>16.9</x:v>
      </x:c>
      <x:c r="H29" s="20" t="n">
        <x:v>17.5</x:v>
      </x:c>
      <x:c r="I29" s="20" t="n">
        <x:v>18.1</x:v>
      </x:c>
      <x:c r="J29" s="20" t="n">
        <x:v>17.5</x:v>
      </x:c>
      <x:c r="K29" s="20" t="n">
        <x:f>SUM(E29:J29)</x:f>
        <x:v>103.6</x:v>
      </x:c>
      <x:c r="L29" s="17" t="str">
        <x:v>Shows promise across multiple halter traits.</x:v>
      </x:c>
    </x:row>
    <x:row r="30">
      <x:c r="A30" s="17" t="str">
        <x:v>SC-0029</x:v>
      </x:c>
      <x:c r="B30" s="17" t="str">
        <x:v>HA-010</x:v>
      </x:c>
      <x:c r="C30" s="17" t="str">
        <x:v>HA Sahara Desert Rose</x:v>
      </x:c>
      <x:c r="D30" s="17" t="str">
        <x:v>Judge B</x:v>
      </x:c>
      <x:c r="E30" s="20" t="n">
        <x:v>18.6</x:v>
      </x:c>
      <x:c r="F30" s="20" t="n">
        <x:v>18.4</x:v>
      </x:c>
      <x:c r="G30" s="20" t="n">
        <x:v>18.5</x:v>
      </x:c>
      <x:c r="H30" s="20" t="n">
        <x:v>18.1</x:v>
      </x:c>
      <x:c r="I30" s="20" t="n">
        <x:v>15.8</x:v>
      </x:c>
      <x:c r="J30" s="20" t="n">
        <x:v>18.5</x:v>
      </x:c>
      <x:c r="K30" s="20" t="n">
        <x:f>SUM(E30:J30)</x:f>
        <x:v>107.89999999999999</x:v>
      </x:c>
      <x:c r="L30" s="17" t="str">
        <x:v>Nice outline with room for development.</x:v>
      </x:c>
    </x:row>
    <x:row r="31">
      <x:c r="A31" s="17" t="str">
        <x:v>SC-0030</x:v>
      </x:c>
      <x:c r="B31" s="17" t="str">
        <x:v>HA-010</x:v>
      </x:c>
      <x:c r="C31" s="17" t="str">
        <x:v>HA Sahara Desert Rose</x:v>
      </x:c>
      <x:c r="D31" s="17" t="str">
        <x:v>Judge C</x:v>
      </x:c>
      <x:c r="E31" s="20" t="n">
        <x:v>16.6</x:v>
      </x:c>
      <x:c r="F31" s="20" t="n">
        <x:v>15.5</x:v>
      </x:c>
      <x:c r="G31" s="20" t="n">
        <x:v>19.2</x:v>
      </x:c>
      <x:c r="H31" s="20" t="n">
        <x:v>16.5</x:v>
      </x:c>
      <x:c r="I31" s="20" t="n">
        <x:v>17.9</x:v>
      </x:c>
      <x:c r="J31" s="20" t="n">
        <x:v>16.7</x:v>
      </x:c>
      <x:c r="K31" s="20" t="n">
        <x:f>SUM(E31:J31)</x:f>
        <x:v>102.39999999999999</x:v>
      </x:c>
      <x:c r="L31" s="17" t="str">
        <x:v>Nice outline with room for development.</x:v>
      </x:c>
    </x:row>
    <x:row r="32">
      <x:c r="A32" s="17" t="str">
        <x:v>SC-0031</x:v>
      </x:c>
      <x:c r="B32" s="17" t="str">
        <x:v>HA-011</x:v>
      </x:c>
      <x:c r="C32" s="17" t="str">
        <x:v>HA Amani Moonlight</x:v>
      </x:c>
      <x:c r="D32" s="17" t="str">
        <x:v>Judge A</x:v>
      </x:c>
      <x:c r="E32" s="20" t="n">
        <x:v>18.7</x:v>
      </x:c>
      <x:c r="F32" s="20" t="n">
        <x:v>18.6</x:v>
      </x:c>
      <x:c r="G32" s="20" t="n">
        <x:v>18.8</x:v>
      </x:c>
      <x:c r="H32" s="20" t="n">
        <x:v>17</x:v>
      </x:c>
      <x:c r="I32" s="20" t="n">
        <x:v>18</x:v>
      </x:c>
      <x:c r="J32" s="20" t="n">
        <x:v>17.3</x:v>
      </x:c>
      <x:c r="K32" s="20" t="n">
        <x:f>SUM(E32:J32)</x:f>
        <x:v>108.39999999999999</x:v>
      </x:c>
      <x:c r="L32" s="17" t="str">
        <x:v>Attractive profile and useful movement.</x:v>
      </x:c>
    </x:row>
    <x:row r="33">
      <x:c r="A33" s="17" t="str">
        <x:v>SC-0032</x:v>
      </x:c>
      <x:c r="B33" s="17" t="str">
        <x:v>HA-011</x:v>
      </x:c>
      <x:c r="C33" s="17" t="str">
        <x:v>HA Amani Moonlight</x:v>
      </x:c>
      <x:c r="D33" s="17" t="str">
        <x:v>Judge B</x:v>
      </x:c>
      <x:c r="E33" s="20" t="n">
        <x:v>17.3</x:v>
      </x:c>
      <x:c r="F33" s="20" t="n">
        <x:v>19.5</x:v>
      </x:c>
      <x:c r="G33" s="20" t="n">
        <x:v>18.4</x:v>
      </x:c>
      <x:c r="H33" s="20" t="n">
        <x:v>18.2</x:v>
      </x:c>
      <x:c r="I33" s="20" t="n">
        <x:v>19</x:v>
      </x:c>
      <x:c r="J33" s="20" t="n">
        <x:v>17.7</x:v>
      </x:c>
      <x:c r="K33" s="20" t="n">
        <x:f>SUM(E33:J33)</x:f>
        <x:v>110.1</x:v>
      </x:c>
      <x:c r="L33" s="17" t="str">
        <x:v>Nice outline with room for development.</x:v>
      </x:c>
    </x:row>
    <x:row r="34">
      <x:c r="A34" s="17" t="str">
        <x:v>SC-0033</x:v>
      </x:c>
      <x:c r="B34" s="17" t="str">
        <x:v>HA-011</x:v>
      </x:c>
      <x:c r="C34" s="17" t="str">
        <x:v>HA Amani Moonlight</x:v>
      </x:c>
      <x:c r="D34" s="17" t="str">
        <x:v>Judge C</x:v>
      </x:c>
      <x:c r="E34" s="20" t="n">
        <x:v>16.6</x:v>
      </x:c>
      <x:c r="F34" s="20" t="n">
        <x:v>17.9</x:v>
      </x:c>
      <x:c r="G34" s="20" t="n">
        <x:v>17.9</x:v>
      </x:c>
      <x:c r="H34" s="20" t="n">
        <x:v>18.4</x:v>
      </x:c>
      <x:c r="I34" s="20" t="n">
        <x:v>19.2</x:v>
      </x:c>
      <x:c r="J34" s="20" t="n">
        <x:v>15.9</x:v>
      </x:c>
      <x:c r="K34" s="20" t="n">
        <x:f>SUM(E34:J34)</x:f>
        <x:v>105.9</x:v>
      </x:c>
      <x:c r="L34" s="17" t="str">
        <x:v>Nice outline with room for development.</x:v>
      </x:c>
    </x:row>
    <x:row r="35">
      <x:c r="A35" s="17" t="str">
        <x:v>SC-0034</x:v>
      </x:c>
      <x:c r="B35" s="17" t="str">
        <x:v>HA-012</x:v>
      </x:c>
      <x:c r="C35" s="17" t="str">
        <x:v>HA Kareem Amethyst</x:v>
      </x:c>
      <x:c r="D35" s="17" t="str">
        <x:v>Judge A</x:v>
      </x:c>
      <x:c r="E35" s="20" t="n">
        <x:v>16.5</x:v>
      </x:c>
      <x:c r="F35" s="20" t="n">
        <x:v>15.6</x:v>
      </x:c>
      <x:c r="G35" s="20" t="n">
        <x:v>17.3</x:v>
      </x:c>
      <x:c r="H35" s="20" t="n">
        <x:v>20</x:v>
      </x:c>
      <x:c r="I35" s="20" t="n">
        <x:v>16.5</x:v>
      </x:c>
      <x:c r="J35" s="20" t="n">
        <x:v>17.7</x:v>
      </x:c>
      <x:c r="K35" s="20" t="n">
        <x:f>SUM(E35:J35)</x:f>
        <x:v>103.60000000000001</x:v>
      </x:c>
      <x:c r="L35" s="17" t="str">
        <x:v>Attractive profile and useful movement.</x:v>
      </x:c>
    </x:row>
    <x:row r="36">
      <x:c r="A36" s="17" t="str">
        <x:v>SC-0035</x:v>
      </x:c>
      <x:c r="B36" s="17" t="str">
        <x:v>HA-012</x:v>
      </x:c>
      <x:c r="C36" s="17" t="str">
        <x:v>HA Kareem Amethyst</x:v>
      </x:c>
      <x:c r="D36" s="17" t="str">
        <x:v>Judge B</x:v>
      </x:c>
      <x:c r="E36" s="20" t="n">
        <x:v>18.7</x:v>
      </x:c>
      <x:c r="F36" s="20" t="n">
        <x:v>15.7</x:v>
      </x:c>
      <x:c r="G36" s="20" t="n">
        <x:v>17.5</x:v>
      </x:c>
      <x:c r="H36" s="20" t="n">
        <x:v>17.6</x:v>
      </x:c>
      <x:c r="I36" s="20" t="n">
        <x:v>16.1</x:v>
      </x:c>
      <x:c r="J36" s="20" t="n">
        <x:v>17.5</x:v>
      </x:c>
      <x:c r="K36" s="20" t="n">
        <x:f>SUM(E36:J36)</x:f>
        <x:v>103.1</x:v>
      </x:c>
      <x:c r="L36" s="17" t="str">
        <x:v>Good quality; monitor consistency across traits.</x:v>
      </x:c>
    </x:row>
    <x:row r="37">
      <x:c r="A37" s="17" t="str">
        <x:v>SC-0036</x:v>
      </x:c>
      <x:c r="B37" s="17" t="str">
        <x:v>HA-012</x:v>
      </x:c>
      <x:c r="C37" s="17" t="str">
        <x:v>HA Kareem Amethyst</x:v>
      </x:c>
      <x:c r="D37" s="17" t="str">
        <x:v>Judge C</x:v>
      </x:c>
      <x:c r="E37" s="20" t="n">
        <x:v>18</x:v>
      </x:c>
      <x:c r="F37" s="20" t="n">
        <x:v>16.8</x:v>
      </x:c>
      <x:c r="G37" s="20" t="n">
        <x:v>19.2</x:v>
      </x:c>
      <x:c r="H37" s="20" t="n">
        <x:v>17.3</x:v>
      </x:c>
      <x:c r="I37" s="20" t="n">
        <x:v>15.8</x:v>
      </x:c>
      <x:c r="J37" s="20" t="n">
        <x:v>16.6</x:v>
      </x:c>
      <x:c r="K37" s="20" t="n">
        <x:f>SUM(E37:J37)</x:f>
        <x:v>103.69999999999999</x:v>
      </x:c>
      <x:c r="L37" s="17" t="str">
        <x:v>Strong presence with balanced strengths.</x:v>
      </x:c>
    </x:row>
    <x:row r="38">
      <x:c r="A38" s="17" t="str">
        <x:v>SC-0037</x:v>
      </x:c>
      <x:c r="B38" s="17" t="str">
        <x:v>HA-013</x:v>
      </x:c>
      <x:c r="C38" s="17" t="str">
        <x:v>HA Jasmine Sundance</x:v>
      </x:c>
      <x:c r="D38" s="17" t="str">
        <x:v>Judge A</x:v>
      </x:c>
      <x:c r="E38" s="20" t="n">
        <x:v>17.6</x:v>
      </x:c>
      <x:c r="F38" s="20" t="n">
        <x:v>18.7</x:v>
      </x:c>
      <x:c r="G38" s="20" t="n">
        <x:v>18.2</x:v>
      </x:c>
      <x:c r="H38" s="20" t="n">
        <x:v>16.6</x:v>
      </x:c>
      <x:c r="I38" s="20" t="n">
        <x:v>18.8</x:v>
      </x:c>
      <x:c r="J38" s="20" t="n">
        <x:v>18.3</x:v>
      </x:c>
      <x:c r="K38" s="20" t="n">
        <x:f>SUM(E38:J38)</x:f>
        <x:v>108.19999999999999</x:v>
      </x:c>
      <x:c r="L38" s="17" t="str">
        <x:v>Solid score pattern; useful for bloodline comparison.</x:v>
      </x:c>
    </x:row>
    <x:row r="39">
      <x:c r="A39" s="17" t="str">
        <x:v>SC-0038</x:v>
      </x:c>
      <x:c r="B39" s="17" t="str">
        <x:v>HA-013</x:v>
      </x:c>
      <x:c r="C39" s="17" t="str">
        <x:v>HA Jasmine Sundance</x:v>
      </x:c>
      <x:c r="D39" s="17" t="str">
        <x:v>Judge B</x:v>
      </x:c>
      <x:c r="E39" s="20" t="n">
        <x:v>15.7</x:v>
      </x:c>
      <x:c r="F39" s="20" t="n">
        <x:v>18.4</x:v>
      </x:c>
      <x:c r="G39" s="20" t="n">
        <x:v>18.3</x:v>
      </x:c>
      <x:c r="H39" s="20" t="n">
        <x:v>16.7</x:v>
      </x:c>
      <x:c r="I39" s="20" t="n">
        <x:v>18.2</x:v>
      </x:c>
      <x:c r="J39" s="20" t="n">
        <x:v>17.4</x:v>
      </x:c>
      <x:c r="K39" s="20" t="n">
        <x:f>SUM(E39:J39)</x:f>
        <x:v>104.69999999999999</x:v>
      </x:c>
      <x:c r="L39" s="17" t="str">
        <x:v>Shows promise across multiple halter traits.</x:v>
      </x:c>
    </x:row>
    <x:row r="40">
      <x:c r="A40" s="17" t="str">
        <x:v>SC-0039</x:v>
      </x:c>
      <x:c r="B40" s="17" t="str">
        <x:v>HA-013</x:v>
      </x:c>
      <x:c r="C40" s="17" t="str">
        <x:v>HA Jasmine Sundance</x:v>
      </x:c>
      <x:c r="D40" s="17" t="str">
        <x:v>Judge C</x:v>
      </x:c>
      <x:c r="E40" s="20" t="n">
        <x:v>17.2</x:v>
      </x:c>
      <x:c r="F40" s="20" t="n">
        <x:v>18.4</x:v>
      </x:c>
      <x:c r="G40" s="20" t="n">
        <x:v>16.8</x:v>
      </x:c>
      <x:c r="H40" s="20" t="n">
        <x:v>17.3</x:v>
      </x:c>
      <x:c r="I40" s="20" t="n">
        <x:v>18.2</x:v>
      </x:c>
      <x:c r="J40" s="20" t="n">
        <x:v>19.7</x:v>
      </x:c>
      <x:c r="K40" s="20" t="n">
        <x:f>SUM(E40:J40)</x:f>
        <x:v>107.6</x:v>
      </x:c>
      <x:c r="L40" s="17" t="str">
        <x:v>Attractive profile and useful movement.</x:v>
      </x:c>
    </x:row>
    <x:row r="41">
      <x:c r="A41" s="17" t="str">
        <x:v>SC-0040</x:v>
      </x:c>
      <x:c r="B41" s="17" t="str">
        <x:v>HA-014</x:v>
      </x:c>
      <x:c r="C41" s="17" t="str">
        <x:v>HA Samir Moonlight</x:v>
      </x:c>
      <x:c r="D41" s="17" t="str">
        <x:v>Judge A</x:v>
      </x:c>
      <x:c r="E41" s="20" t="n">
        <x:v>19.8</x:v>
      </x:c>
      <x:c r="F41" s="20" t="n">
        <x:v>18.9</x:v>
      </x:c>
      <x:c r="G41" s="20" t="n">
        <x:v>17.1</x:v>
      </x:c>
      <x:c r="H41" s="20" t="n">
        <x:v>18.8</x:v>
      </x:c>
      <x:c r="I41" s="20" t="n">
        <x:v>17.7</x:v>
      </x:c>
      <x:c r="J41" s="20" t="n">
        <x:v>18.4</x:v>
      </x:c>
      <x:c r="K41" s="20" t="n">
        <x:f>SUM(E41:J41)</x:f>
        <x:v>110.70000000000002</x:v>
      </x:c>
      <x:c r="L41" s="17" t="str">
        <x:v>Strong presence with balanced strengths.</x:v>
      </x:c>
    </x:row>
    <x:row r="42">
      <x:c r="A42" s="17" t="str">
        <x:v>SC-0041</x:v>
      </x:c>
      <x:c r="B42" s="17" t="str">
        <x:v>HA-014</x:v>
      </x:c>
      <x:c r="C42" s="17" t="str">
        <x:v>HA Samir Moonlight</x:v>
      </x:c>
      <x:c r="D42" s="17" t="str">
        <x:v>Judge B</x:v>
      </x:c>
      <x:c r="E42" s="20" t="n">
        <x:v>18.8</x:v>
      </x:c>
      <x:c r="F42" s="20" t="n">
        <x:v>17.6</x:v>
      </x:c>
      <x:c r="G42" s="20" t="n">
        <x:v>18</x:v>
      </x:c>
      <x:c r="H42" s="20" t="n">
        <x:v>16.9</x:v>
      </x:c>
      <x:c r="I42" s="20" t="n">
        <x:v>15.1</x:v>
      </x:c>
      <x:c r="J42" s="20" t="n">
        <x:v>18.7</x:v>
      </x:c>
      <x:c r="K42" s="20" t="n">
        <x:f>SUM(E42:J42)</x:f>
        <x:v>105.10000000000001</x:v>
      </x:c>
      <x:c r="L42" s="17" t="str">
        <x:v>Shows promise across multiple halter traits.</x:v>
      </x:c>
    </x:row>
    <x:row r="43">
      <x:c r="A43" s="17" t="str">
        <x:v>SC-0042</x:v>
      </x:c>
      <x:c r="B43" s="17" t="str">
        <x:v>HA-014</x:v>
      </x:c>
      <x:c r="C43" s="17" t="str">
        <x:v>HA Samir Moonlight</x:v>
      </x:c>
      <x:c r="D43" s="17" t="str">
        <x:v>Judge C</x:v>
      </x:c>
      <x:c r="E43" s="20" t="n">
        <x:v>18.6</x:v>
      </x:c>
      <x:c r="F43" s="20" t="n">
        <x:v>18.7</x:v>
      </x:c>
      <x:c r="G43" s="20" t="n">
        <x:v>19.3</x:v>
      </x:c>
      <x:c r="H43" s="20" t="n">
        <x:v>17.2</x:v>
      </x:c>
      <x:c r="I43" s="20" t="n">
        <x:v>16.3</x:v>
      </x:c>
      <x:c r="J43" s="20" t="n">
        <x:v>17.6</x:v>
      </x:c>
      <x:c r="K43" s="20" t="n">
        <x:f>SUM(E43:J43)</x:f>
        <x:v>107.69999999999999</x:v>
      </x:c>
      <x:c r="L43" s="17" t="str">
        <x:v>Nice outline with room for development.</x:v>
      </x:c>
    </x:row>
    <x:row r="44">
      <x:c r="A44" s="17" t="str">
        <x:v>SC-0043</x:v>
      </x:c>
      <x:c r="B44" s="17" t="str">
        <x:v>HA-015</x:v>
      </x:c>
      <x:c r="C44" s="17" t="str">
        <x:v>HA Zara Marquis</x:v>
      </x:c>
      <x:c r="D44" s="17" t="str">
        <x:v>Judge A</x:v>
      </x:c>
      <x:c r="E44" s="20" t="n">
        <x:v>20</x:v>
      </x:c>
      <x:c r="F44" s="20" t="n">
        <x:v>18.9</x:v>
      </x:c>
      <x:c r="G44" s="20" t="n">
        <x:v>16.6</x:v>
      </x:c>
      <x:c r="H44" s="20" t="n">
        <x:v>16.5</x:v>
      </x:c>
      <x:c r="I44" s="20" t="n">
        <x:v>18.8</x:v>
      </x:c>
      <x:c r="J44" s="20" t="n">
        <x:v>18.2</x:v>
      </x:c>
      <x:c r="K44" s="20" t="n">
        <x:f>SUM(E44:J44)</x:f>
        <x:v>109</x:v>
      </x:c>
      <x:c r="L44" s="17" t="str">
        <x:v>Nice outline with room for development.</x:v>
      </x:c>
    </x:row>
    <x:row r="45">
      <x:c r="A45" s="17" t="str">
        <x:v>SC-0044</x:v>
      </x:c>
      <x:c r="B45" s="17" t="str">
        <x:v>HA-015</x:v>
      </x:c>
      <x:c r="C45" s="17" t="str">
        <x:v>HA Zara Marquis</x:v>
      </x:c>
      <x:c r="D45" s="17" t="str">
        <x:v>Judge B</x:v>
      </x:c>
      <x:c r="E45" s="20" t="n">
        <x:v>17.7</x:v>
      </x:c>
      <x:c r="F45" s="20" t="n">
        <x:v>19.2</x:v>
      </x:c>
      <x:c r="G45" s="20" t="n">
        <x:v>18.2</x:v>
      </x:c>
      <x:c r="H45" s="20" t="n">
        <x:v>18.4</x:v>
      </x:c>
      <x:c r="I45" s="20" t="n">
        <x:v>17.8</x:v>
      </x:c>
      <x:c r="J45" s="20" t="n">
        <x:v>17</x:v>
      </x:c>
      <x:c r="K45" s="20" t="n">
        <x:f>SUM(E45:J45)</x:f>
        <x:v>108.3</x:v>
      </x:c>
      <x:c r="L45" s="17" t="str">
        <x:v>Shows promise across multiple halter traits.</x:v>
      </x:c>
    </x:row>
    <x:row r="46">
      <x:c r="A46" s="17" t="str">
        <x:v>SC-0045</x:v>
      </x:c>
      <x:c r="B46" s="17" t="str">
        <x:v>HA-015</x:v>
      </x:c>
      <x:c r="C46" s="17" t="str">
        <x:v>HA Zara Marquis</x:v>
      </x:c>
      <x:c r="D46" s="17" t="str">
        <x:v>Judge C</x:v>
      </x:c>
      <x:c r="E46" s="20" t="n">
        <x:v>18.1</x:v>
      </x:c>
      <x:c r="F46" s="20" t="n">
        <x:v>19.6</x:v>
      </x:c>
      <x:c r="G46" s="20" t="n">
        <x:v>18.9</x:v>
      </x:c>
      <x:c r="H46" s="20" t="n">
        <x:v>16.8</x:v>
      </x:c>
      <x:c r="I46" s="20" t="n">
        <x:v>17.4</x:v>
      </x:c>
      <x:c r="J46" s="20" t="n">
        <x:v>19.2</x:v>
      </x:c>
      <x:c r="K46" s="20" t="n">
        <x:f>SUM(E46:J46)</x:f>
        <x:v>110.00000000000001</x:v>
      </x:c>
      <x:c r="L46" s="17" t="str">
        <x:v>Nice outline with room for development.</x:v>
      </x:c>
    </x:row>
    <x:row r="47">
      <x:c r="A47" s="17" t="str">
        <x:v>SC-0046</x:v>
      </x:c>
      <x:c r="B47" s="17" t="str">
        <x:v>HA-016</x:v>
      </x:c>
      <x:c r="C47" s="17" t="str">
        <x:v>HA Farid Royal Flame</x:v>
      </x:c>
      <x:c r="D47" s="17" t="str">
        <x:v>Judge A</x:v>
      </x:c>
      <x:c r="E47" s="20" t="n">
        <x:v>18.6</x:v>
      </x:c>
      <x:c r="F47" s="20" t="n">
        <x:v>19.4</x:v>
      </x:c>
      <x:c r="G47" s="20" t="n">
        <x:v>19.4</x:v>
      </x:c>
      <x:c r="H47" s="20" t="n">
        <x:v>19.1</x:v>
      </x:c>
      <x:c r="I47" s="20" t="n">
        <x:v>19.2</x:v>
      </x:c>
      <x:c r="J47" s="20" t="n">
        <x:v>19</x:v>
      </x:c>
      <x:c r="K47" s="20" t="n">
        <x:f>SUM(E47:J47)</x:f>
        <x:v>114.7</x:v>
      </x:c>
      <x:c r="L47" s="17" t="str">
        <x:v>Strong presence with balanced strengths.</x:v>
      </x:c>
    </x:row>
    <x:row r="48">
      <x:c r="A48" s="17" t="str">
        <x:v>SC-0047</x:v>
      </x:c>
      <x:c r="B48" s="17" t="str">
        <x:v>HA-016</x:v>
      </x:c>
      <x:c r="C48" s="17" t="str">
        <x:v>HA Farid Royal Flame</x:v>
      </x:c>
      <x:c r="D48" s="17" t="str">
        <x:v>Judge B</x:v>
      </x:c>
      <x:c r="E48" s="20" t="n">
        <x:v>17.8</x:v>
      </x:c>
      <x:c r="F48" s="20" t="n">
        <x:v>18.1</x:v>
      </x:c>
      <x:c r="G48" s="20" t="n">
        <x:v>17.6</x:v>
      </x:c>
      <x:c r="H48" s="20" t="n">
        <x:v>17.5</x:v>
      </x:c>
      <x:c r="I48" s="20" t="n">
        <x:v>19.3</x:v>
      </x:c>
      <x:c r="J48" s="20" t="n">
        <x:v>17.7</x:v>
      </x:c>
      <x:c r="K48" s="20" t="n">
        <x:f>SUM(E48:J48)</x:f>
        <x:v>108</x:v>
      </x:c>
      <x:c r="L48" s="17" t="str">
        <x:v>Solid score pattern; useful for bloodline comparison.</x:v>
      </x:c>
    </x:row>
    <x:row r="49">
      <x:c r="A49" s="17" t="str">
        <x:v>SC-0048</x:v>
      </x:c>
      <x:c r="B49" s="17" t="str">
        <x:v>HA-016</x:v>
      </x:c>
      <x:c r="C49" s="17" t="str">
        <x:v>HA Farid Royal Flame</x:v>
      </x:c>
      <x:c r="D49" s="17" t="str">
        <x:v>Judge C</x:v>
      </x:c>
      <x:c r="E49" s="20" t="n">
        <x:v>19.1</x:v>
      </x:c>
      <x:c r="F49" s="20" t="n">
        <x:v>20</x:v>
      </x:c>
      <x:c r="G49" s="20" t="n">
        <x:v>18.6</x:v>
      </x:c>
      <x:c r="H49" s="20" t="n">
        <x:v>18.4</x:v>
      </x:c>
      <x:c r="I49" s="20" t="n">
        <x:v>18.8</x:v>
      </x:c>
      <x:c r="J49" s="20" t="n">
        <x:v>18.5</x:v>
      </x:c>
      <x:c r="K49" s="20" t="n">
        <x:f>SUM(E49:J49)</x:f>
        <x:v>113.39999999999999</x:v>
      </x:c>
      <x:c r="L49" s="17" t="str">
        <x:v>Nice outline with room for development.</x:v>
      </x:c>
    </x:row>
    <x:row r="50">
      <x:c r="A50" s="17" t="str">
        <x:v>SC-0049</x:v>
      </x:c>
      <x:c r="B50" s="17" t="str">
        <x:v>HA-017</x:v>
      </x:c>
      <x:c r="C50" s="17" t="str">
        <x:v>HA Noura Al Jannat</x:v>
      </x:c>
      <x:c r="D50" s="17" t="str">
        <x:v>Judge A</x:v>
      </x:c>
      <x:c r="E50" s="20" t="n">
        <x:v>18.7</x:v>
      </x:c>
      <x:c r="F50" s="20" t="n">
        <x:v>19.9</x:v>
      </x:c>
      <x:c r="G50" s="20" t="n">
        <x:v>19.1</x:v>
      </x:c>
      <x:c r="H50" s="20" t="n">
        <x:v>20</x:v>
      </x:c>
      <x:c r="I50" s="20" t="n">
        <x:v>19.7</x:v>
      </x:c>
      <x:c r="J50" s="20" t="n">
        <x:v>18.4</x:v>
      </x:c>
      <x:c r="K50" s="20" t="n">
        <x:f>SUM(E50:J50)</x:f>
        <x:v>115.79999999999998</x:v>
      </x:c>
      <x:c r="L50" s="17" t="str">
        <x:v>Solid score pattern; useful for bloodline comparison.</x:v>
      </x:c>
    </x:row>
    <x:row r="51">
      <x:c r="A51" s="17" t="str">
        <x:v>SC-0050</x:v>
      </x:c>
      <x:c r="B51" s="17" t="str">
        <x:v>HA-017</x:v>
      </x:c>
      <x:c r="C51" s="17" t="str">
        <x:v>HA Noura Al Jannat</x:v>
      </x:c>
      <x:c r="D51" s="17" t="str">
        <x:v>Judge B</x:v>
      </x:c>
      <x:c r="E51" s="20" t="n">
        <x:v>20</x:v>
      </x:c>
      <x:c r="F51" s="20" t="n">
        <x:v>17.7</x:v>
      </x:c>
      <x:c r="G51" s="20" t="n">
        <x:v>18.2</x:v>
      </x:c>
      <x:c r="H51" s="20" t="n">
        <x:v>20</x:v>
      </x:c>
      <x:c r="I51" s="20" t="n">
        <x:v>16.9</x:v>
      </x:c>
      <x:c r="J51" s="20" t="n">
        <x:v>19.1</x:v>
      </x:c>
      <x:c r="K51" s="20" t="n">
        <x:f>SUM(E51:J51)</x:f>
        <x:v>111.9</x:v>
      </x:c>
      <x:c r="L51" s="17" t="str">
        <x:v>Shows promise across multiple halter traits.</x:v>
      </x:c>
    </x:row>
    <x:row r="52">
      <x:c r="A52" s="17" t="str">
        <x:v>SC-0051</x:v>
      </x:c>
      <x:c r="B52" s="17" t="str">
        <x:v>HA-017</x:v>
      </x:c>
      <x:c r="C52" s="17" t="str">
        <x:v>HA Noura Al Jannat</x:v>
      </x:c>
      <x:c r="D52" s="17" t="str">
        <x:v>Judge C</x:v>
      </x:c>
      <x:c r="E52" s="20" t="n">
        <x:v>20</x:v>
      </x:c>
      <x:c r="F52" s="20" t="n">
        <x:v>17.2</x:v>
      </x:c>
      <x:c r="G52" s="20" t="n">
        <x:v>17.7</x:v>
      </x:c>
      <x:c r="H52" s="20" t="n">
        <x:v>18.1</x:v>
      </x:c>
      <x:c r="I52" s="20" t="n">
        <x:v>18.7</x:v>
      </x:c>
      <x:c r="J52" s="20" t="n">
        <x:v>18</x:v>
      </x:c>
      <x:c r="K52" s="20" t="n">
        <x:f>SUM(E52:J52)</x:f>
        <x:v>109.7</x:v>
      </x:c>
      <x:c r="L52" s="17" t="str">
        <x:v>Shows promise across multiple halter traits.</x:v>
      </x:c>
    </x:row>
    <x:row r="53">
      <x:c r="A53" s="17" t="str">
        <x:v>SC-0052</x:v>
      </x:c>
      <x:c r="B53" s="17" t="str">
        <x:v>HA-018</x:v>
      </x:c>
      <x:c r="C53" s="17" t="str">
        <x:v>HA Khalil Valentino</x:v>
      </x:c>
      <x:c r="D53" s="17" t="str">
        <x:v>Judge A</x:v>
      </x:c>
      <x:c r="E53" s="20" t="n">
        <x:v>16.7</x:v>
      </x:c>
      <x:c r="F53" s="20" t="n">
        <x:v>14.5</x:v>
      </x:c>
      <x:c r="G53" s="20" t="n">
        <x:v>17</x:v>
      </x:c>
      <x:c r="H53" s="20" t="n">
        <x:v>19.2</x:v>
      </x:c>
      <x:c r="I53" s="20" t="n">
        <x:v>15.7</x:v>
      </x:c>
      <x:c r="J53" s="20" t="n">
        <x:v>18</x:v>
      </x:c>
      <x:c r="K53" s="20" t="n">
        <x:f>SUM(E53:J53)</x:f>
        <x:v>101.10000000000001</x:v>
      </x:c>
      <x:c r="L53" s="17" t="str">
        <x:v>Shows promise across multiple halter traits.</x:v>
      </x:c>
    </x:row>
    <x:row r="54">
      <x:c r="A54" s="17" t="str">
        <x:v>SC-0053</x:v>
      </x:c>
      <x:c r="B54" s="17" t="str">
        <x:v>HA-018</x:v>
      </x:c>
      <x:c r="C54" s="17" t="str">
        <x:v>HA Khalil Valentino</x:v>
      </x:c>
      <x:c r="D54" s="17" t="str">
        <x:v>Judge B</x:v>
      </x:c>
      <x:c r="E54" s="20" t="n">
        <x:v>17.8</x:v>
      </x:c>
      <x:c r="F54" s="20" t="n">
        <x:v>17.3</x:v>
      </x:c>
      <x:c r="G54" s="20" t="n">
        <x:v>18.6</x:v>
      </x:c>
      <x:c r="H54" s="20" t="n">
        <x:v>16.8</x:v>
      </x:c>
      <x:c r="I54" s="20" t="n">
        <x:v>18.7</x:v>
      </x:c>
      <x:c r="J54" s="20" t="n">
        <x:v>18.2</x:v>
      </x:c>
      <x:c r="K54" s="20" t="n">
        <x:f>SUM(E54:J54)</x:f>
        <x:v>107.4</x:v>
      </x:c>
      <x:c r="L54" s="17" t="str">
        <x:v>Attractive profile and useful movement.</x:v>
      </x:c>
    </x:row>
    <x:row r="55">
      <x:c r="A55" s="17" t="str">
        <x:v>SC-0054</x:v>
      </x:c>
      <x:c r="B55" s="17" t="str">
        <x:v>HA-018</x:v>
      </x:c>
      <x:c r="C55" s="17" t="str">
        <x:v>HA Khalil Valentino</x:v>
      </x:c>
      <x:c r="D55" s="17" t="str">
        <x:v>Judge C</x:v>
      </x:c>
      <x:c r="E55" s="20" t="n">
        <x:v>17.5</x:v>
      </x:c>
      <x:c r="F55" s="20" t="n">
        <x:v>17.2</x:v>
      </x:c>
      <x:c r="G55" s="20" t="n">
        <x:v>18.2</x:v>
      </x:c>
      <x:c r="H55" s="20" t="n">
        <x:v>18</x:v>
      </x:c>
      <x:c r="I55" s="20" t="n">
        <x:v>15.1</x:v>
      </x:c>
      <x:c r="J55" s="20" t="n">
        <x:v>19.1</x:v>
      </x:c>
      <x:c r="K55" s="20" t="n">
        <x:f>SUM(E55:J55)</x:f>
        <x:v>105.1</x:v>
      </x:c>
      <x:c r="L55" s="17" t="str">
        <x:v>Solid score pattern; useful for bloodline comparison.</x:v>
      </x:c>
    </x:row>
    <x:row r="56">
      <x:c r="A56" s="17" t="str">
        <x:v>SC-0055</x:v>
      </x:c>
      <x:c r="B56" s="17" t="str">
        <x:v>HA-019</x:v>
      </x:c>
      <x:c r="C56" s="17" t="str">
        <x:v>HA Saffron Golden Star</x:v>
      </x:c>
      <x:c r="D56" s="17" t="str">
        <x:v>Judge A</x:v>
      </x:c>
      <x:c r="E56" s="20" t="n">
        <x:v>18.6</x:v>
      </x:c>
      <x:c r="F56" s="20" t="n">
        <x:v>18.3</x:v>
      </x:c>
      <x:c r="G56" s="20" t="n">
        <x:v>17.1</x:v>
      </x:c>
      <x:c r="H56" s="20" t="n">
        <x:v>18</x:v>
      </x:c>
      <x:c r="I56" s="20" t="n">
        <x:v>17.8</x:v>
      </x:c>
      <x:c r="J56" s="20" t="n">
        <x:v>19.4</x:v>
      </x:c>
      <x:c r="K56" s="20" t="n">
        <x:f>SUM(E56:J56)</x:f>
        <x:v>109.19999999999999</x:v>
      </x:c>
      <x:c r="L56" s="17" t="str">
        <x:v>Strong presence with balanced strengths.</x:v>
      </x:c>
    </x:row>
    <x:row r="57">
      <x:c r="A57" s="17" t="str">
        <x:v>SC-0056</x:v>
      </x:c>
      <x:c r="B57" s="17" t="str">
        <x:v>HA-019</x:v>
      </x:c>
      <x:c r="C57" s="17" t="str">
        <x:v>HA Saffron Golden Star</x:v>
      </x:c>
      <x:c r="D57" s="17" t="str">
        <x:v>Judge B</x:v>
      </x:c>
      <x:c r="E57" s="20" t="n">
        <x:v>19.6</x:v>
      </x:c>
      <x:c r="F57" s="20" t="n">
        <x:v>18.8</x:v>
      </x:c>
      <x:c r="G57" s="20" t="n">
        <x:v>18.8</x:v>
      </x:c>
      <x:c r="H57" s="20" t="n">
        <x:v>18.3</x:v>
      </x:c>
      <x:c r="I57" s="20" t="n">
        <x:v>18.4</x:v>
      </x:c>
      <x:c r="J57" s="20" t="n">
        <x:v>17.9</x:v>
      </x:c>
      <x:c r="K57" s="20" t="n">
        <x:f>SUM(E57:J57)</x:f>
        <x:v>111.80000000000001</x:v>
      </x:c>
      <x:c r="L57" s="17" t="str">
        <x:v>Strong presence with balanced strengths.</x:v>
      </x:c>
    </x:row>
    <x:row r="58">
      <x:c r="A58" s="17" t="str">
        <x:v>SC-0057</x:v>
      </x:c>
      <x:c r="B58" s="17" t="str">
        <x:v>HA-019</x:v>
      </x:c>
      <x:c r="C58" s="17" t="str">
        <x:v>HA Saffron Golden Star</x:v>
      </x:c>
      <x:c r="D58" s="17" t="str">
        <x:v>Judge C</x:v>
      </x:c>
      <x:c r="E58" s="20" t="n">
        <x:v>19.3</x:v>
      </x:c>
      <x:c r="F58" s="20" t="n">
        <x:v>19.1</x:v>
      </x:c>
      <x:c r="G58" s="20" t="n">
        <x:v>18.3</x:v>
      </x:c>
      <x:c r="H58" s="20" t="n">
        <x:v>19.6</x:v>
      </x:c>
      <x:c r="I58" s="20" t="n">
        <x:v>18.5</x:v>
      </x:c>
      <x:c r="J58" s="20" t="n">
        <x:v>17.5</x:v>
      </x:c>
      <x:c r="K58" s="20" t="n">
        <x:f>SUM(E58:J58)</x:f>
        <x:v>112.30000000000001</x:v>
      </x:c>
      <x:c r="L58" s="17" t="str">
        <x:v>Solid score pattern; useful for bloodline comparison.</x:v>
      </x:c>
    </x:row>
    <x:row r="59">
      <x:c r="A59" s="17" t="str">
        <x:v>SC-0058</x:v>
      </x:c>
      <x:c r="B59" s="17" t="str">
        <x:v>HA-020</x:v>
      </x:c>
      <x:c r="C59" s="17" t="str">
        <x:v>HA Aziza Royal Flame</x:v>
      </x:c>
      <x:c r="D59" s="17" t="str">
        <x:v>Judge A</x:v>
      </x:c>
      <x:c r="E59" s="20" t="n">
        <x:v>20</x:v>
      </x:c>
      <x:c r="F59" s="20" t="n">
        <x:v>18.8</x:v>
      </x:c>
      <x:c r="G59" s="20" t="n">
        <x:v>18.3</x:v>
      </x:c>
      <x:c r="H59" s="20" t="n">
        <x:v>18.8</x:v>
      </x:c>
      <x:c r="I59" s="20" t="n">
        <x:v>20</x:v>
      </x:c>
      <x:c r="J59" s="20" t="n">
        <x:v>18.6</x:v>
      </x:c>
      <x:c r="K59" s="20" t="n">
        <x:f>SUM(E59:J59)</x:f>
        <x:v>114.5</x:v>
      </x:c>
      <x:c r="L59" s="17" t="str">
        <x:v>Good quality; monitor consistency across traits.</x:v>
      </x:c>
    </x:row>
    <x:row r="60">
      <x:c r="A60" s="17" t="str">
        <x:v>SC-0059</x:v>
      </x:c>
      <x:c r="B60" s="17" t="str">
        <x:v>HA-020</x:v>
      </x:c>
      <x:c r="C60" s="17" t="str">
        <x:v>HA Aziza Royal Flame</x:v>
      </x:c>
      <x:c r="D60" s="17" t="str">
        <x:v>Judge B</x:v>
      </x:c>
      <x:c r="E60" s="20" t="n">
        <x:v>18</x:v>
      </x:c>
      <x:c r="F60" s="20" t="n">
        <x:v>19.1</x:v>
      </x:c>
      <x:c r="G60" s="20" t="n">
        <x:v>19.3</x:v>
      </x:c>
      <x:c r="H60" s="20" t="n">
        <x:v>18.2</x:v>
      </x:c>
      <x:c r="I60" s="20" t="n">
        <x:v>17</x:v>
      </x:c>
      <x:c r="J60" s="20" t="n">
        <x:v>18.3</x:v>
      </x:c>
      <x:c r="K60" s="20" t="n">
        <x:f>SUM(E60:J60)</x:f>
        <x:v>109.9</x:v>
      </x:c>
      <x:c r="L60" s="17" t="str">
        <x:v>Shows promise across multiple halter traits.</x:v>
      </x:c>
    </x:row>
    <x:row r="61">
      <x:c r="A61" s="17" t="str">
        <x:v>SC-0060</x:v>
      </x:c>
      <x:c r="B61" s="17" t="str">
        <x:v>HA-020</x:v>
      </x:c>
      <x:c r="C61" s="17" t="str">
        <x:v>HA Aziza Royal Flame</x:v>
      </x:c>
      <x:c r="D61" s="17" t="str">
        <x:v>Judge C</x:v>
      </x:c>
      <x:c r="E61" s="20" t="n">
        <x:v>16.5</x:v>
      </x:c>
      <x:c r="F61" s="20" t="n">
        <x:v>18.3</x:v>
      </x:c>
      <x:c r="G61" s="20" t="n">
        <x:v>16.9</x:v>
      </x:c>
      <x:c r="H61" s="20" t="n">
        <x:v>17.8</x:v>
      </x:c>
      <x:c r="I61" s="20" t="n">
        <x:v>18.2</x:v>
      </x:c>
      <x:c r="J61" s="20" t="n">
        <x:v>17.8</x:v>
      </x:c>
      <x:c r="K61" s="20" t="n">
        <x:f>SUM(E61:J61)</x:f>
        <x:v>105.5</x:v>
      </x:c>
      <x:c r="L61" s="17" t="str">
        <x:v>Strong presence with balanced strengths.</x:v>
      </x:c>
    </x:row>
    <x:row r="62">
      <x:c r="A62" s="17" t="str">
        <x:v>SC-0061</x:v>
      </x:c>
      <x:c r="B62" s="17" t="str">
        <x:v>HA-021</x:v>
      </x:c>
      <x:c r="C62" s="17" t="str">
        <x:v>HA Majid Al Jannat</x:v>
      </x:c>
      <x:c r="D62" s="17" t="str">
        <x:v>Judge A</x:v>
      </x:c>
      <x:c r="E62" s="20" t="n">
        <x:v>19.7</x:v>
      </x:c>
      <x:c r="F62" s="20" t="n">
        <x:v>20</x:v>
      </x:c>
      <x:c r="G62" s="20" t="n">
        <x:v>17.8</x:v>
      </x:c>
      <x:c r="H62" s="20" t="n">
        <x:v>19.4</x:v>
      </x:c>
      <x:c r="I62" s="20" t="n">
        <x:v>16.6</x:v>
      </x:c>
      <x:c r="J62" s="20" t="n">
        <x:v>19.7</x:v>
      </x:c>
      <x:c r="K62" s="20" t="n">
        <x:f>SUM(E62:J62)</x:f>
        <x:v>113.2</x:v>
      </x:c>
      <x:c r="L62" s="17" t="str">
        <x:v>Solid score pattern; useful for bloodline comparison.</x:v>
      </x:c>
    </x:row>
    <x:row r="63">
      <x:c r="A63" s="17" t="str">
        <x:v>SC-0062</x:v>
      </x:c>
      <x:c r="B63" s="17" t="str">
        <x:v>HA-021</x:v>
      </x:c>
      <x:c r="C63" s="17" t="str">
        <x:v>HA Majid Al Jannat</x:v>
      </x:c>
      <x:c r="D63" s="17" t="str">
        <x:v>Judge B</x:v>
      </x:c>
      <x:c r="E63" s="20" t="n">
        <x:v>18.3</x:v>
      </x:c>
      <x:c r="F63" s="20" t="n">
        <x:v>18.1</x:v>
      </x:c>
      <x:c r="G63" s="20" t="n">
        <x:v>18</x:v>
      </x:c>
      <x:c r="H63" s="20" t="n">
        <x:v>19.1</x:v>
      </x:c>
      <x:c r="I63" s="20" t="n">
        <x:v>16.8</x:v>
      </x:c>
      <x:c r="J63" s="20" t="n">
        <x:v>19.2</x:v>
      </x:c>
      <x:c r="K63" s="20" t="n">
        <x:f>SUM(E63:J63)</x:f>
        <x:v>109.5</x:v>
      </x:c>
      <x:c r="L63" s="17" t="str">
        <x:v>Attractive profile and useful movement.</x:v>
      </x:c>
    </x:row>
    <x:row r="64">
      <x:c r="A64" s="17" t="str">
        <x:v>SC-0063</x:v>
      </x:c>
      <x:c r="B64" s="17" t="str">
        <x:v>HA-021</x:v>
      </x:c>
      <x:c r="C64" s="17" t="str">
        <x:v>HA Majid Al Jannat</x:v>
      </x:c>
      <x:c r="D64" s="17" t="str">
        <x:v>Judge C</x:v>
      </x:c>
      <x:c r="E64" s="20" t="n">
        <x:v>20</x:v>
      </x:c>
      <x:c r="F64" s="20" t="n">
        <x:v>19.4</x:v>
      </x:c>
      <x:c r="G64" s="20" t="n">
        <x:v>18.4</x:v>
      </x:c>
      <x:c r="H64" s="20" t="n">
        <x:v>16.2</x:v>
      </x:c>
      <x:c r="I64" s="20" t="n">
        <x:v>17.1</x:v>
      </x:c>
      <x:c r="J64" s="20" t="n">
        <x:v>18.1</x:v>
      </x:c>
      <x:c r="K64" s="20" t="n">
        <x:f>SUM(E64:J64)</x:f>
        <x:v>109.19999999999999</x:v>
      </x:c>
      <x:c r="L64" s="17" t="str">
        <x:v>Shows promise across multiple halter traits.</x:v>
      </x:c>
    </x:row>
    <x:row r="65">
      <x:c r="A65" s="17" t="str">
        <x:v>SC-0064</x:v>
      </x:c>
      <x:c r="B65" s="17" t="str">
        <x:v>HA-022</x:v>
      </x:c>
      <x:c r="C65" s="17" t="str">
        <x:v>HA Dalia Desert Rose</x:v>
      </x:c>
      <x:c r="D65" s="17" t="str">
        <x:v>Judge A</x:v>
      </x:c>
      <x:c r="E65" s="20" t="n">
        <x:v>19</x:v>
      </x:c>
      <x:c r="F65" s="20" t="n">
        <x:v>17.4</x:v>
      </x:c>
      <x:c r="G65" s="20" t="n">
        <x:v>18.1</x:v>
      </x:c>
      <x:c r="H65" s="20" t="n">
        <x:v>19.1</x:v>
      </x:c>
      <x:c r="I65" s="20" t="n">
        <x:v>18.5</x:v>
      </x:c>
      <x:c r="J65" s="20" t="n">
        <x:v>19</x:v>
      </x:c>
      <x:c r="K65" s="20" t="n">
        <x:f>SUM(E65:J65)</x:f>
        <x:v>111.1</x:v>
      </x:c>
      <x:c r="L65" s="17" t="str">
        <x:v>Solid score pattern; useful for bloodline comparison.</x:v>
      </x:c>
    </x:row>
    <x:row r="66">
      <x:c r="A66" s="17" t="str">
        <x:v>SC-0065</x:v>
      </x:c>
      <x:c r="B66" s="17" t="str">
        <x:v>HA-022</x:v>
      </x:c>
      <x:c r="C66" s="17" t="str">
        <x:v>HA Dalia Desert Rose</x:v>
      </x:c>
      <x:c r="D66" s="17" t="str">
        <x:v>Judge B</x:v>
      </x:c>
      <x:c r="E66" s="20" t="n">
        <x:v>16.5</x:v>
      </x:c>
      <x:c r="F66" s="20" t="n">
        <x:v>19.2</x:v>
      </x:c>
      <x:c r="G66" s="20" t="n">
        <x:v>19.9</x:v>
      </x:c>
      <x:c r="H66" s="20" t="n">
        <x:v>15.7</x:v>
      </x:c>
      <x:c r="I66" s="20" t="n">
        <x:v>17.5</x:v>
      </x:c>
      <x:c r="J66" s="20" t="n">
        <x:v>17.8</x:v>
      </x:c>
      <x:c r="K66" s="20" t="n">
        <x:f>SUM(E66:J66)</x:f>
        <x:v>106.6</x:v>
      </x:c>
      <x:c r="L66" s="17" t="str">
        <x:v>Nice outline with room for development.</x:v>
      </x:c>
    </x:row>
    <x:row r="67">
      <x:c r="A67" s="17" t="str">
        <x:v>SC-0066</x:v>
      </x:c>
      <x:c r="B67" s="17" t="str">
        <x:v>HA-022</x:v>
      </x:c>
      <x:c r="C67" s="17" t="str">
        <x:v>HA Dalia Desert Rose</x:v>
      </x:c>
      <x:c r="D67" s="17" t="str">
        <x:v>Judge C</x:v>
      </x:c>
      <x:c r="E67" s="20" t="n">
        <x:v>18.4</x:v>
      </x:c>
      <x:c r="F67" s="20" t="n">
        <x:v>17.9</x:v>
      </x:c>
      <x:c r="G67" s="20" t="n">
        <x:v>17.6</x:v>
      </x:c>
      <x:c r="H67" s="20" t="n">
        <x:v>18.5</x:v>
      </x:c>
      <x:c r="I67" s="20" t="n">
        <x:v>19.1</x:v>
      </x:c>
      <x:c r="J67" s="20" t="n">
        <x:v>18.3</x:v>
      </x:c>
      <x:c r="K67" s="20" t="n">
        <x:f>SUM(E67:J67)</x:f>
        <x:v>109.8</x:v>
      </x:c>
      <x:c r="L67" s="17" t="str">
        <x:v>Solid score pattern; useful for bloodline comparison.</x:v>
      </x:c>
    </x:row>
    <x:row r="68">
      <x:c r="A68" s="17" t="str">
        <x:v>SC-0067</x:v>
      </x:c>
      <x:c r="B68" s="17" t="str">
        <x:v>HA-023</x:v>
      </x:c>
      <x:c r="C68" s="17" t="str">
        <x:v>HA Rashid Golden Star</x:v>
      </x:c>
      <x:c r="D68" s="17" t="str">
        <x:v>Judge A</x:v>
      </x:c>
      <x:c r="E68" s="20" t="n">
        <x:v>19.5</x:v>
      </x:c>
      <x:c r="F68" s="20" t="n">
        <x:v>20</x:v>
      </x:c>
      <x:c r="G68" s="20" t="n">
        <x:v>18.3</x:v>
      </x:c>
      <x:c r="H68" s="20" t="n">
        <x:v>16.6</x:v>
      </x:c>
      <x:c r="I68" s="20" t="n">
        <x:v>19.8</x:v>
      </x:c>
      <x:c r="J68" s="20" t="n">
        <x:v>19.5</x:v>
      </x:c>
      <x:c r="K68" s="20" t="n">
        <x:f>SUM(E68:J68)</x:f>
        <x:v>113.7</x:v>
      </x:c>
      <x:c r="L68" s="17" t="str">
        <x:v>Nice outline with room for development.</x:v>
      </x:c>
    </x:row>
    <x:row r="69">
      <x:c r="A69" s="17" t="str">
        <x:v>SC-0068</x:v>
      </x:c>
      <x:c r="B69" s="17" t="str">
        <x:v>HA-023</x:v>
      </x:c>
      <x:c r="C69" s="17" t="str">
        <x:v>HA Rashid Golden Star</x:v>
      </x:c>
      <x:c r="D69" s="17" t="str">
        <x:v>Judge B</x:v>
      </x:c>
      <x:c r="E69" s="20" t="n">
        <x:v>18.1</x:v>
      </x:c>
      <x:c r="F69" s="20" t="n">
        <x:v>19.2</x:v>
      </x:c>
      <x:c r="G69" s="20" t="n">
        <x:v>18.7</x:v>
      </x:c>
      <x:c r="H69" s="20" t="n">
        <x:v>19.5</x:v>
      </x:c>
      <x:c r="I69" s="20" t="n">
        <x:v>18.3</x:v>
      </x:c>
      <x:c r="J69" s="20" t="n">
        <x:v>17.7</x:v>
      </x:c>
      <x:c r="K69" s="20" t="n">
        <x:f>SUM(E69:J69)</x:f>
        <x:v>111.5</x:v>
      </x:c>
      <x:c r="L69" s="17" t="str">
        <x:v>Good quality; monitor consistency across traits.</x:v>
      </x:c>
    </x:row>
    <x:row r="70">
      <x:c r="A70" s="17" t="str">
        <x:v>SC-0069</x:v>
      </x:c>
      <x:c r="B70" s="17" t="str">
        <x:v>HA-023</x:v>
      </x:c>
      <x:c r="C70" s="17" t="str">
        <x:v>HA Rashid Golden Star</x:v>
      </x:c>
      <x:c r="D70" s="17" t="str">
        <x:v>Judge C</x:v>
      </x:c>
      <x:c r="E70" s="20" t="n">
        <x:v>17.7</x:v>
      </x:c>
      <x:c r="F70" s="20" t="n">
        <x:v>19.5</x:v>
      </x:c>
      <x:c r="G70" s="20" t="n">
        <x:v>18.4</x:v>
      </x:c>
      <x:c r="H70" s="20" t="n">
        <x:v>18.7</x:v>
      </x:c>
      <x:c r="I70" s="20" t="n">
        <x:v>20</x:v>
      </x:c>
      <x:c r="J70" s="20" t="n">
        <x:v>18.9</x:v>
      </x:c>
      <x:c r="K70" s="20" t="n">
        <x:f>SUM(E70:J70)</x:f>
        <x:v>113.19999999999999</x:v>
      </x:c>
      <x:c r="L70" s="17" t="str">
        <x:v>Shows promise across multiple halter traits.</x:v>
      </x:c>
    </x:row>
    <x:row r="71">
      <x:c r="A71" s="17" t="str">
        <x:v>SC-0070</x:v>
      </x:c>
      <x:c r="B71" s="17" t="str">
        <x:v>HA-024</x:v>
      </x:c>
      <x:c r="C71" s="17" t="str">
        <x:v>HA Soraya Amethyst</x:v>
      </x:c>
      <x:c r="D71" s="17" t="str">
        <x:v>Judge A</x:v>
      </x:c>
      <x:c r="E71" s="20" t="n">
        <x:v>18.1</x:v>
      </x:c>
      <x:c r="F71" s="20" t="n">
        <x:v>19.2</x:v>
      </x:c>
      <x:c r="G71" s="20" t="n">
        <x:v>17.1</x:v>
      </x:c>
      <x:c r="H71" s="20" t="n">
        <x:v>19.3</x:v>
      </x:c>
      <x:c r="I71" s="20" t="n">
        <x:v>18.5</x:v>
      </x:c>
      <x:c r="J71" s="20" t="n">
        <x:v>18.4</x:v>
      </x:c>
      <x:c r="K71" s="20" t="n">
        <x:f>SUM(E71:J71)</x:f>
        <x:v>110.6</x:v>
      </x:c>
      <x:c r="L71" s="17" t="str">
        <x:v>Shows promise across multiple halter traits.</x:v>
      </x:c>
    </x:row>
    <x:row r="72">
      <x:c r="A72" s="17" t="str">
        <x:v>SC-0071</x:v>
      </x:c>
      <x:c r="B72" s="17" t="str">
        <x:v>HA-024</x:v>
      </x:c>
      <x:c r="C72" s="17" t="str">
        <x:v>HA Soraya Amethyst</x:v>
      </x:c>
      <x:c r="D72" s="17" t="str">
        <x:v>Judge B</x:v>
      </x:c>
      <x:c r="E72" s="20" t="n">
        <x:v>17.1</x:v>
      </x:c>
      <x:c r="F72" s="20" t="n">
        <x:v>18</x:v>
      </x:c>
      <x:c r="G72" s="20" t="n">
        <x:v>18.8</x:v>
      </x:c>
      <x:c r="H72" s="20" t="n">
        <x:v>16.8</x:v>
      </x:c>
      <x:c r="I72" s="20" t="n">
        <x:v>19.2</x:v>
      </x:c>
      <x:c r="J72" s="20" t="n">
        <x:v>18.9</x:v>
      </x:c>
      <x:c r="K72" s="20" t="n">
        <x:f>SUM(E72:J72)</x:f>
        <x:v>108.80000000000001</x:v>
      </x:c>
      <x:c r="L72" s="17" t="str">
        <x:v>Solid score pattern; useful for bloodline comparison.</x:v>
      </x:c>
    </x:row>
    <x:row r="73">
      <x:c r="A73" s="17" t="str">
        <x:v>SC-0072</x:v>
      </x:c>
      <x:c r="B73" s="17" t="str">
        <x:v>HA-024</x:v>
      </x:c>
      <x:c r="C73" s="17" t="str">
        <x:v>HA Soraya Amethyst</x:v>
      </x:c>
      <x:c r="D73" s="17" t="str">
        <x:v>Judge C</x:v>
      </x:c>
      <x:c r="E73" s="20" t="n">
        <x:v>19.4</x:v>
      </x:c>
      <x:c r="F73" s="20" t="n">
        <x:v>18.5</x:v>
      </x:c>
      <x:c r="G73" s="20" t="n">
        <x:v>18.2</x:v>
      </x:c>
      <x:c r="H73" s="20" t="n">
        <x:v>17.5</x:v>
      </x:c>
      <x:c r="I73" s="20" t="n">
        <x:v>18</x:v>
      </x:c>
      <x:c r="J73" s="20" t="n">
        <x:v>19.5</x:v>
      </x:c>
      <x:c r="K73" s="20" t="n">
        <x:f>SUM(E73:J73)</x:f>
        <x:v>111.1</x:v>
      </x:c>
      <x:c r="L73" s="17" t="str">
        <x:v>Shows promise across multiple halter traits.</x:v>
      </x:c>
    </x:row>
    <x:row r="74">
      <x:c r="A74" s="17" t="str">
        <x:v>SC-0073</x:v>
      </x:c>
      <x:c r="B74" s="17" t="str">
        <x:v>HA-025</x:v>
      </x:c>
      <x:c r="C74" s="17" t="str">
        <x:v>HA Tariq Legacy</x:v>
      </x:c>
      <x:c r="D74" s="17" t="str">
        <x:v>Judge A</x:v>
      </x:c>
      <x:c r="E74" s="20" t="n">
        <x:v>18.9</x:v>
      </x:c>
      <x:c r="F74" s="20" t="n">
        <x:v>18.3</x:v>
      </x:c>
      <x:c r="G74" s="20" t="n">
        <x:v>17.5</x:v>
      </x:c>
      <x:c r="H74" s="20" t="n">
        <x:v>17.3</x:v>
      </x:c>
      <x:c r="I74" s="20" t="n">
        <x:v>18.7</x:v>
      </x:c>
      <x:c r="J74" s="20" t="n">
        <x:v>17.7</x:v>
      </x:c>
      <x:c r="K74" s="20" t="n">
        <x:f>SUM(E74:J74)</x:f>
        <x:v>108.4</x:v>
      </x:c>
      <x:c r="L74" s="17" t="str">
        <x:v>Attractive profile and useful movement.</x:v>
      </x:c>
    </x:row>
    <x:row r="75">
      <x:c r="A75" s="17" t="str">
        <x:v>SC-0074</x:v>
      </x:c>
      <x:c r="B75" s="17" t="str">
        <x:v>HA-025</x:v>
      </x:c>
      <x:c r="C75" s="17" t="str">
        <x:v>HA Tariq Legacy</x:v>
      </x:c>
      <x:c r="D75" s="17" t="str">
        <x:v>Judge B</x:v>
      </x:c>
      <x:c r="E75" s="20" t="n">
        <x:v>17.6</x:v>
      </x:c>
      <x:c r="F75" s="20" t="n">
        <x:v>17</x:v>
      </x:c>
      <x:c r="G75" s="20" t="n">
        <x:v>17.4</x:v>
      </x:c>
      <x:c r="H75" s="20" t="n">
        <x:v>20</x:v>
      </x:c>
      <x:c r="I75" s="20" t="n">
        <x:v>16.9</x:v>
      </x:c>
      <x:c r="J75" s="20" t="n">
        <x:v>19</x:v>
      </x:c>
      <x:c r="K75" s="20" t="n">
        <x:f>SUM(E75:J75)</x:f>
        <x:v>107.9</x:v>
      </x:c>
      <x:c r="L75" s="17" t="str">
        <x:v>Nice outline with room for development.</x:v>
      </x:c>
    </x:row>
    <x:row r="76">
      <x:c r="A76" s="17" t="str">
        <x:v>SC-0075</x:v>
      </x:c>
      <x:c r="B76" s="17" t="str">
        <x:v>HA-025</x:v>
      </x:c>
      <x:c r="C76" s="17" t="str">
        <x:v>HA Tariq Legacy</x:v>
      </x:c>
      <x:c r="D76" s="17" t="str">
        <x:v>Judge C</x:v>
      </x:c>
      <x:c r="E76" s="20" t="n">
        <x:v>17.4</x:v>
      </x:c>
      <x:c r="F76" s="20" t="n">
        <x:v>18.5</x:v>
      </x:c>
      <x:c r="G76" s="20" t="n">
        <x:v>18.8</x:v>
      </x:c>
      <x:c r="H76" s="20" t="n">
        <x:v>17.8</x:v>
      </x:c>
      <x:c r="I76" s="20" t="n">
        <x:v>17.2</x:v>
      </x:c>
      <x:c r="J76" s="20" t="n">
        <x:v>17.7</x:v>
      </x:c>
      <x:c r="K76" s="20" t="n">
        <x:f>SUM(E76:J76)</x:f>
        <x:v>107.4</x:v>
      </x:c>
      <x:c r="L76" s="17" t="str">
        <x:v>Shows promise across multiple halter traits.</x:v>
      </x:c>
    </x:row>
    <x:row r="77">
      <x:c r="A77" s="17" t="str">
        <x:v>SC-0076</x:v>
      </x:c>
      <x:c r="B77" s="17" t="str">
        <x:v>HA-026</x:v>
      </x:c>
      <x:c r="C77" s="17" t="str">
        <x:v>HA Luna Amethyst</x:v>
      </x:c>
      <x:c r="D77" s="17" t="str">
        <x:v>Judge A</x:v>
      </x:c>
      <x:c r="E77" s="20" t="n">
        <x:v>19.7</x:v>
      </x:c>
      <x:c r="F77" s="20" t="n">
        <x:v>18.4</x:v>
      </x:c>
      <x:c r="G77" s="20" t="n">
        <x:v>17.4</x:v>
      </x:c>
      <x:c r="H77" s="20" t="n">
        <x:v>19</x:v>
      </x:c>
      <x:c r="I77" s="20" t="n">
        <x:v>20</x:v>
      </x:c>
      <x:c r="J77" s="20" t="n">
        <x:v>19.9</x:v>
      </x:c>
      <x:c r="K77" s="20" t="n">
        <x:f>SUM(E77:J77)</x:f>
        <x:v>114.4</x:v>
      </x:c>
      <x:c r="L77" s="17" t="str">
        <x:v>Solid score pattern; useful for bloodline comparison.</x:v>
      </x:c>
    </x:row>
    <x:row r="78">
      <x:c r="A78" s="17" t="str">
        <x:v>SC-0077</x:v>
      </x:c>
      <x:c r="B78" s="17" t="str">
        <x:v>HA-026</x:v>
      </x:c>
      <x:c r="C78" s="17" t="str">
        <x:v>HA Luna Amethyst</x:v>
      </x:c>
      <x:c r="D78" s="17" t="str">
        <x:v>Judge B</x:v>
      </x:c>
      <x:c r="E78" s="20" t="n">
        <x:v>18.3</x:v>
      </x:c>
      <x:c r="F78" s="20" t="n">
        <x:v>18.8</x:v>
      </x:c>
      <x:c r="G78" s="20" t="n">
        <x:v>16.4</x:v>
      </x:c>
      <x:c r="H78" s="20" t="n">
        <x:v>17.8</x:v>
      </x:c>
      <x:c r="I78" s="20" t="n">
        <x:v>16.9</x:v>
      </x:c>
      <x:c r="J78" s="20" t="n">
        <x:v>19.3</x:v>
      </x:c>
      <x:c r="K78" s="20" t="n">
        <x:f>SUM(E78:J78)</x:f>
        <x:v>107.49999999999999</x:v>
      </x:c>
      <x:c r="L78" s="17" t="str">
        <x:v>Shows promise across multiple halter traits.</x:v>
      </x:c>
    </x:row>
    <x:row r="79">
      <x:c r="A79" s="17" t="str">
        <x:v>SC-0078</x:v>
      </x:c>
      <x:c r="B79" s="17" t="str">
        <x:v>HA-026</x:v>
      </x:c>
      <x:c r="C79" s="17" t="str">
        <x:v>HA Luna Amethyst</x:v>
      </x:c>
      <x:c r="D79" s="17" t="str">
        <x:v>Judge C</x:v>
      </x:c>
      <x:c r="E79" s="20" t="n">
        <x:v>17.9</x:v>
      </x:c>
      <x:c r="F79" s="20" t="n">
        <x:v>18.4</x:v>
      </x:c>
      <x:c r="G79" s="20" t="n">
        <x:v>17.4</x:v>
      </x:c>
      <x:c r="H79" s="20" t="n">
        <x:v>19.5</x:v>
      </x:c>
      <x:c r="I79" s="20" t="n">
        <x:v>18.8</x:v>
      </x:c>
      <x:c r="J79" s="20" t="n">
        <x:v>17.3</x:v>
      </x:c>
      <x:c r="K79" s="20" t="n">
        <x:f>SUM(E79:J79)</x:f>
        <x:v>109.29999999999998</x:v>
      </x:c>
      <x:c r="L79" s="17" t="str">
        <x:v>Nice outline with room for development.</x:v>
      </x:c>
    </x:row>
    <x:row r="80">
      <x:c r="A80" s="17" t="str">
        <x:v>SC-0079</x:v>
      </x:c>
      <x:c r="B80" s="17" t="str">
        <x:v>HA-027</x:v>
      </x:c>
      <x:c r="C80" s="17" t="str">
        <x:v>HA Hakim Amethyst</x:v>
      </x:c>
      <x:c r="D80" s="17" t="str">
        <x:v>Judge A</x:v>
      </x:c>
      <x:c r="E80" s="20" t="n">
        <x:v>18.3</x:v>
      </x:c>
      <x:c r="F80" s="20" t="n">
        <x:v>20</x:v>
      </x:c>
      <x:c r="G80" s="20" t="n">
        <x:v>18.1</x:v>
      </x:c>
      <x:c r="H80" s="20" t="n">
        <x:v>17.6</x:v>
      </x:c>
      <x:c r="I80" s="20" t="n">
        <x:v>18.4</x:v>
      </x:c>
      <x:c r="J80" s="20" t="n">
        <x:v>19.1</x:v>
      </x:c>
      <x:c r="K80" s="20" t="n">
        <x:f>SUM(E80:J80)</x:f>
        <x:v>111.5</x:v>
      </x:c>
      <x:c r="L80" s="17" t="str">
        <x:v>Shows promise across multiple halter traits.</x:v>
      </x:c>
    </x:row>
    <x:row r="81">
      <x:c r="A81" s="17" t="str">
        <x:v>SC-0080</x:v>
      </x:c>
      <x:c r="B81" s="17" t="str">
        <x:v>HA-027</x:v>
      </x:c>
      <x:c r="C81" s="17" t="str">
        <x:v>HA Hakim Amethyst</x:v>
      </x:c>
      <x:c r="D81" s="17" t="str">
        <x:v>Judge B</x:v>
      </x:c>
      <x:c r="E81" s="20" t="n">
        <x:v>19</x:v>
      </x:c>
      <x:c r="F81" s="20" t="n">
        <x:v>18.2</x:v>
      </x:c>
      <x:c r="G81" s="20" t="n">
        <x:v>18.7</x:v>
      </x:c>
      <x:c r="H81" s="20" t="n">
        <x:v>18.1</x:v>
      </x:c>
      <x:c r="I81" s="20" t="n">
        <x:v>18.4</x:v>
      </x:c>
      <x:c r="J81" s="20" t="n">
        <x:v>18.1</x:v>
      </x:c>
      <x:c r="K81" s="20" t="n">
        <x:f>SUM(E81:J81)</x:f>
        <x:v>110.5</x:v>
      </x:c>
      <x:c r="L81" s="17" t="str">
        <x:v>Nice outline with room for development.</x:v>
      </x:c>
    </x:row>
    <x:row r="82">
      <x:c r="A82" s="17" t="str">
        <x:v>SC-0081</x:v>
      </x:c>
      <x:c r="B82" s="17" t="str">
        <x:v>HA-027</x:v>
      </x:c>
      <x:c r="C82" s="17" t="str">
        <x:v>HA Hakim Amethyst</x:v>
      </x:c>
      <x:c r="D82" s="17" t="str">
        <x:v>Judge C</x:v>
      </x:c>
      <x:c r="E82" s="20" t="n">
        <x:v>18.7</x:v>
      </x:c>
      <x:c r="F82" s="20" t="n">
        <x:v>17.7</x:v>
      </x:c>
      <x:c r="G82" s="20" t="n">
        <x:v>18.1</x:v>
      </x:c>
      <x:c r="H82" s="20" t="n">
        <x:v>17.4</x:v>
      </x:c>
      <x:c r="I82" s="20" t="n">
        <x:v>19.2</x:v>
      </x:c>
      <x:c r="J82" s="20" t="n">
        <x:v>19.1</x:v>
      </x:c>
      <x:c r="K82" s="20" t="n">
        <x:f>SUM(E82:J82)</x:f>
        <x:v>110.20000000000002</x:v>
      </x:c>
      <x:c r="L82" s="17" t="str">
        <x:v>Solid score pattern; useful for bloodline comparison.</x:v>
      </x:c>
    </x:row>
    <x:row r="83">
      <x:c r="A83" s="17" t="str">
        <x:v>SC-0082</x:v>
      </x:c>
      <x:c r="B83" s="17" t="str">
        <x:v>HA-028</x:v>
      </x:c>
      <x:c r="C83" s="17" t="str">
        <x:v>HA Nashira Royal Flame</x:v>
      </x:c>
      <x:c r="D83" s="17" t="str">
        <x:v>Judge A</x:v>
      </x:c>
      <x:c r="E83" s="20" t="n">
        <x:v>19.6</x:v>
      </x:c>
      <x:c r="F83" s="20" t="n">
        <x:v>18.4</x:v>
      </x:c>
      <x:c r="G83" s="20" t="n">
        <x:v>18.3</x:v>
      </x:c>
      <x:c r="H83" s="20" t="n">
        <x:v>17.8</x:v>
      </x:c>
      <x:c r="I83" s="20" t="n">
        <x:v>19.1</x:v>
      </x:c>
      <x:c r="J83" s="20" t="n">
        <x:v>18</x:v>
      </x:c>
      <x:c r="K83" s="20" t="n">
        <x:f>SUM(E83:J83)</x:f>
        <x:v>111.19999999999999</x:v>
      </x:c>
      <x:c r="L83" s="17" t="str">
        <x:v>Attractive profile and useful movement.</x:v>
      </x:c>
    </x:row>
    <x:row r="84">
      <x:c r="A84" s="17" t="str">
        <x:v>SC-0083</x:v>
      </x:c>
      <x:c r="B84" s="17" t="str">
        <x:v>HA-028</x:v>
      </x:c>
      <x:c r="C84" s="17" t="str">
        <x:v>HA Nashira Royal Flame</x:v>
      </x:c>
      <x:c r="D84" s="17" t="str">
        <x:v>Judge B</x:v>
      </x:c>
      <x:c r="E84" s="20" t="n">
        <x:v>19.8</x:v>
      </x:c>
      <x:c r="F84" s="20" t="n">
        <x:v>18.5</x:v>
      </x:c>
      <x:c r="G84" s="20" t="n">
        <x:v>16.9</x:v>
      </x:c>
      <x:c r="H84" s="20" t="n">
        <x:v>19</x:v>
      </x:c>
      <x:c r="I84" s="20" t="n">
        <x:v>18.3</x:v>
      </x:c>
      <x:c r="J84" s="20" t="n">
        <x:v>19.4</x:v>
      </x:c>
      <x:c r="K84" s="20" t="n">
        <x:f>SUM(E84:J84)</x:f>
        <x:v>111.89999999999998</x:v>
      </x:c>
      <x:c r="L84" s="17" t="str">
        <x:v>Nice outline with room for development.</x:v>
      </x:c>
    </x:row>
    <x:row r="85">
      <x:c r="A85" s="17" t="str">
        <x:v>SC-0084</x:v>
      </x:c>
      <x:c r="B85" s="17" t="str">
        <x:v>HA-028</x:v>
      </x:c>
      <x:c r="C85" s="17" t="str">
        <x:v>HA Nashira Royal Flame</x:v>
      </x:c>
      <x:c r="D85" s="17" t="str">
        <x:v>Judge C</x:v>
      </x:c>
      <x:c r="E85" s="20" t="n">
        <x:v>20</x:v>
      </x:c>
      <x:c r="F85" s="20" t="n">
        <x:v>19.2</x:v>
      </x:c>
      <x:c r="G85" s="20" t="n">
        <x:v>17.9</x:v>
      </x:c>
      <x:c r="H85" s="20" t="n">
        <x:v>16.8</x:v>
      </x:c>
      <x:c r="I85" s="20" t="n">
        <x:v>19.4</x:v>
      </x:c>
      <x:c r="J85" s="20" t="n">
        <x:v>20</x:v>
      </x:c>
      <x:c r="K85" s="20" t="n">
        <x:f>SUM(E85:J85)</x:f>
        <x:v>113.30000000000001</x:v>
      </x:c>
      <x:c r="L85" s="17" t="str">
        <x:v>Strong presence with balanced strengths.</x:v>
      </x:c>
    </x:row>
    <x:row r="86">
      <x:c r="A86" s="17" t="str">
        <x:v>SC-0085</x:v>
      </x:c>
      <x:c r="B86" s="17" t="str">
        <x:v>HA-029</x:v>
      </x:c>
      <x:c r="C86" s="17" t="str">
        <x:v>HA Rahma Al Jannat</x:v>
      </x:c>
      <x:c r="D86" s="17" t="str">
        <x:v>Judge A</x:v>
      </x:c>
      <x:c r="E86" s="20" t="n">
        <x:v>20</x:v>
      </x:c>
      <x:c r="F86" s="20" t="n">
        <x:v>18.7</x:v>
      </x:c>
      <x:c r="G86" s="20" t="n">
        <x:v>19.7</x:v>
      </x:c>
      <x:c r="H86" s="20" t="n">
        <x:v>18.8</x:v>
      </x:c>
      <x:c r="I86" s="20" t="n">
        <x:v>20</x:v>
      </x:c>
      <x:c r="J86" s="20" t="n">
        <x:v>19.4</x:v>
      </x:c>
      <x:c r="K86" s="20" t="n">
        <x:f>SUM(E86:J86)</x:f>
        <x:v>116.6</x:v>
      </x:c>
      <x:c r="L86" s="17" t="str">
        <x:v>Shows promise across multiple halter traits.</x:v>
      </x:c>
    </x:row>
    <x:row r="87">
      <x:c r="A87" s="17" t="str">
        <x:v>SC-0086</x:v>
      </x:c>
      <x:c r="B87" s="17" t="str">
        <x:v>HA-029</x:v>
      </x:c>
      <x:c r="C87" s="17" t="str">
        <x:v>HA Rahma Al Jannat</x:v>
      </x:c>
      <x:c r="D87" s="17" t="str">
        <x:v>Judge B</x:v>
      </x:c>
      <x:c r="E87" s="20" t="n">
        <x:v>18.1</x:v>
      </x:c>
      <x:c r="F87" s="20" t="n">
        <x:v>17.2</x:v>
      </x:c>
      <x:c r="G87" s="20" t="n">
        <x:v>19.8</x:v>
      </x:c>
      <x:c r="H87" s="20" t="n">
        <x:v>17.3</x:v>
      </x:c>
      <x:c r="I87" s="20" t="n">
        <x:v>19.4</x:v>
      </x:c>
      <x:c r="J87" s="20" t="n">
        <x:v>19.1</x:v>
      </x:c>
      <x:c r="K87" s="20" t="n">
        <x:f>SUM(E87:J87)</x:f>
        <x:v>110.89999999999998</x:v>
      </x:c>
      <x:c r="L87" s="17" t="str">
        <x:v>Good quality; monitor consistency across traits.</x:v>
      </x:c>
    </x:row>
    <x:row r="88">
      <x:c r="A88" s="17" t="str">
        <x:v>SC-0087</x:v>
      </x:c>
      <x:c r="B88" s="17" t="str">
        <x:v>HA-029</x:v>
      </x:c>
      <x:c r="C88" s="17" t="str">
        <x:v>HA Rahma Al Jannat</x:v>
      </x:c>
      <x:c r="D88" s="17" t="str">
        <x:v>Judge C</x:v>
      </x:c>
      <x:c r="E88" s="20" t="n">
        <x:v>17.6</x:v>
      </x:c>
      <x:c r="F88" s="20" t="n">
        <x:v>18</x:v>
      </x:c>
      <x:c r="G88" s="20" t="n">
        <x:v>18.7</x:v>
      </x:c>
      <x:c r="H88" s="20" t="n">
        <x:v>19.3</x:v>
      </x:c>
      <x:c r="I88" s="20" t="n">
        <x:v>19.7</x:v>
      </x:c>
      <x:c r="J88" s="20" t="n">
        <x:v>18</x:v>
      </x:c>
      <x:c r="K88" s="20" t="n">
        <x:f>SUM(E88:J88)</x:f>
        <x:v>111.3</x:v>
      </x:c>
      <x:c r="L88" s="17" t="str">
        <x:v>Solid score pattern; useful for bloodline comparison.</x:v>
      </x:c>
    </x:row>
    <x:row r="89">
      <x:c r="A89" s="17" t="str">
        <x:v>SC-0088</x:v>
      </x:c>
      <x:c r="B89" s="17" t="str">
        <x:v>HA-030</x:v>
      </x:c>
      <x:c r="C89" s="17" t="str">
        <x:v>HA Zayd Royal Flame</x:v>
      </x:c>
      <x:c r="D89" s="17" t="str">
        <x:v>Judge A</x:v>
      </x:c>
      <x:c r="E89" s="20" t="n">
        <x:v>17.6</x:v>
      </x:c>
      <x:c r="F89" s="20" t="n">
        <x:v>18.1</x:v>
      </x:c>
      <x:c r="G89" s="20" t="n">
        <x:v>18.9</x:v>
      </x:c>
      <x:c r="H89" s="20" t="n">
        <x:v>18.4</x:v>
      </x:c>
      <x:c r="I89" s="20" t="n">
        <x:v>20</x:v>
      </x:c>
      <x:c r="J89" s="20" t="n">
        <x:v>20</x:v>
      </x:c>
      <x:c r="K89" s="20" t="n">
        <x:f>SUM(E89:J89)</x:f>
        <x:v>113</x:v>
      </x:c>
      <x:c r="L89" s="17" t="str">
        <x:v>Solid score pattern; useful for bloodline comparison.</x:v>
      </x:c>
    </x:row>
    <x:row r="90">
      <x:c r="A90" s="17" t="str">
        <x:v>SC-0089</x:v>
      </x:c>
      <x:c r="B90" s="17" t="str">
        <x:v>HA-030</x:v>
      </x:c>
      <x:c r="C90" s="17" t="str">
        <x:v>HA Zayd Royal Flame</x:v>
      </x:c>
      <x:c r="D90" s="17" t="str">
        <x:v>Judge B</x:v>
      </x:c>
      <x:c r="E90" s="20" t="n">
        <x:v>17.1</x:v>
      </x:c>
      <x:c r="F90" s="20" t="n">
        <x:v>18</x:v>
      </x:c>
      <x:c r="G90" s="20" t="n">
        <x:v>19</x:v>
      </x:c>
      <x:c r="H90" s="20" t="n">
        <x:v>18</x:v>
      </x:c>
      <x:c r="I90" s="20" t="n">
        <x:v>19.4</x:v>
      </x:c>
      <x:c r="J90" s="20" t="n">
        <x:v>17.8</x:v>
      </x:c>
      <x:c r="K90" s="20" t="n">
        <x:f>SUM(E90:J90)</x:f>
        <x:v>109.3</x:v>
      </x:c>
      <x:c r="L90" s="17" t="str">
        <x:v>Shows promise across multiple halter traits.</x:v>
      </x:c>
    </x:row>
    <x:row r="91">
      <x:c r="A91" s="17" t="str">
        <x:v>SC-0090</x:v>
      </x:c>
      <x:c r="B91" s="17" t="str">
        <x:v>HA-030</x:v>
      </x:c>
      <x:c r="C91" s="17" t="str">
        <x:v>HA Zayd Royal Flame</x:v>
      </x:c>
      <x:c r="D91" s="17" t="str">
        <x:v>Judge C</x:v>
      </x:c>
      <x:c r="E91" s="20" t="n">
        <x:v>17.4</x:v>
      </x:c>
      <x:c r="F91" s="20" t="n">
        <x:v>16.9</x:v>
      </x:c>
      <x:c r="G91" s="20" t="n">
        <x:v>19.7</x:v>
      </x:c>
      <x:c r="H91" s="20" t="n">
        <x:v>18.5</x:v>
      </x:c>
      <x:c r="I91" s="20" t="n">
        <x:v>19.2</x:v>
      </x:c>
      <x:c r="J91" s="20" t="n">
        <x:v>17.3</x:v>
      </x:c>
      <x:c r="K91" s="20" t="n">
        <x:f>SUM(E91:J91)</x:f>
        <x:v>109</x:v>
      </x:c>
      <x:c r="L91" s="17" t="str">
        <x:v>Good quality; monitor consistency across traits.</x:v>
      </x:c>
    </x:row>
    <x:row r="92">
      <x:c r="A92" s="17" t="str">
        <x:v>SC-0091</x:v>
      </x:c>
      <x:c r="B92" s="17" t="str">
        <x:v>HA-031</x:v>
      </x:c>
      <x:c r="C92" s="17" t="str">
        <x:v>HA Mira Valentino</x:v>
      </x:c>
      <x:c r="D92" s="17" t="str">
        <x:v>Judge A</x:v>
      </x:c>
      <x:c r="E92" s="20" t="n">
        <x:v>20</x:v>
      </x:c>
      <x:c r="F92" s="20" t="n">
        <x:v>19.7</x:v>
      </x:c>
      <x:c r="G92" s="20" t="n">
        <x:v>19.2</x:v>
      </x:c>
      <x:c r="H92" s="20" t="n">
        <x:v>18.9</x:v>
      </x:c>
      <x:c r="I92" s="20" t="n">
        <x:v>16</x:v>
      </x:c>
      <x:c r="J92" s="20" t="n">
        <x:v>18.9</x:v>
      </x:c>
      <x:c r="K92" s="20" t="n">
        <x:f>SUM(E92:J92)</x:f>
        <x:v>112.70000000000002</x:v>
      </x:c>
      <x:c r="L92" s="17" t="str">
        <x:v>Shows promise across multiple halter traits.</x:v>
      </x:c>
    </x:row>
    <x:row r="93">
      <x:c r="A93" s="17" t="str">
        <x:v>SC-0092</x:v>
      </x:c>
      <x:c r="B93" s="17" t="str">
        <x:v>HA-031</x:v>
      </x:c>
      <x:c r="C93" s="17" t="str">
        <x:v>HA Mira Valentino</x:v>
      </x:c>
      <x:c r="D93" s="17" t="str">
        <x:v>Judge B</x:v>
      </x:c>
      <x:c r="E93" s="20" t="n">
        <x:v>19.6</x:v>
      </x:c>
      <x:c r="F93" s="20" t="n">
        <x:v>19.9</x:v>
      </x:c>
      <x:c r="G93" s="20" t="n">
        <x:v>18.1</x:v>
      </x:c>
      <x:c r="H93" s="20" t="n">
        <x:v>18.9</x:v>
      </x:c>
      <x:c r="I93" s="20" t="n">
        <x:v>18.8</x:v>
      </x:c>
      <x:c r="J93" s="20" t="n">
        <x:v>17</x:v>
      </x:c>
      <x:c r="K93" s="20" t="n">
        <x:f>SUM(E93:J93)</x:f>
        <x:v>112.3</x:v>
      </x:c>
      <x:c r="L93" s="17" t="str">
        <x:v>Attractive profile and useful movement.</x:v>
      </x:c>
    </x:row>
    <x:row r="94">
      <x:c r="A94" s="17" t="str">
        <x:v>SC-0093</x:v>
      </x:c>
      <x:c r="B94" s="17" t="str">
        <x:v>HA-031</x:v>
      </x:c>
      <x:c r="C94" s="17" t="str">
        <x:v>HA Mira Valentino</x:v>
      </x:c>
      <x:c r="D94" s="17" t="str">
        <x:v>Judge C</x:v>
      </x:c>
      <x:c r="E94" s="20" t="n">
        <x:v>18.7</x:v>
      </x:c>
      <x:c r="F94" s="20" t="n">
        <x:v>17.7</x:v>
      </x:c>
      <x:c r="G94" s="20" t="n">
        <x:v>19.2</x:v>
      </x:c>
      <x:c r="H94" s="20" t="n">
        <x:v>18.9</x:v>
      </x:c>
      <x:c r="I94" s="20" t="n">
        <x:v>19.1</x:v>
      </x:c>
      <x:c r="J94" s="20" t="n">
        <x:v>19.6</x:v>
      </x:c>
      <x:c r="K94" s="20" t="n">
        <x:f>SUM(E94:J94)</x:f>
        <x:v>113.19999999999999</x:v>
      </x:c>
      <x:c r="L94" s="17" t="str">
        <x:v>Nice outline with room for development.</x:v>
      </x:c>
    </x:row>
    <x:row r="95">
      <x:c r="A95" s="17" t="str">
        <x:v>SC-0094</x:v>
      </x:c>
      <x:c r="B95" s="17" t="str">
        <x:v>HA-032</x:v>
      </x:c>
      <x:c r="C95" s="17" t="str">
        <x:v>HA Kamal Al Jannat</x:v>
      </x:c>
      <x:c r="D95" s="17" t="str">
        <x:v>Judge A</x:v>
      </x:c>
      <x:c r="E95" s="20" t="n">
        <x:v>17.3</x:v>
      </x:c>
      <x:c r="F95" s="20" t="n">
        <x:v>19.3</x:v>
      </x:c>
      <x:c r="G95" s="20" t="n">
        <x:v>18.4</x:v>
      </x:c>
      <x:c r="H95" s="20" t="n">
        <x:v>18.5</x:v>
      </x:c>
      <x:c r="I95" s="20" t="n">
        <x:v>18.7</x:v>
      </x:c>
      <x:c r="J95" s="20" t="n">
        <x:v>18.2</x:v>
      </x:c>
      <x:c r="K95" s="20" t="n">
        <x:f>SUM(E95:J95)</x:f>
        <x:v>110.4</x:v>
      </x:c>
      <x:c r="L95" s="17" t="str">
        <x:v>Strong presence with balanced strengths.</x:v>
      </x:c>
    </x:row>
    <x:row r="96">
      <x:c r="A96" s="17" t="str">
        <x:v>SC-0095</x:v>
      </x:c>
      <x:c r="B96" s="17" t="str">
        <x:v>HA-032</x:v>
      </x:c>
      <x:c r="C96" s="17" t="str">
        <x:v>HA Kamal Al Jannat</x:v>
      </x:c>
      <x:c r="D96" s="17" t="str">
        <x:v>Judge B</x:v>
      </x:c>
      <x:c r="E96" s="20" t="n">
        <x:v>17.1</x:v>
      </x:c>
      <x:c r="F96" s="20" t="n">
        <x:v>16.9</x:v>
      </x:c>
      <x:c r="G96" s="20" t="n">
        <x:v>18.5</x:v>
      </x:c>
      <x:c r="H96" s="20" t="n">
        <x:v>18.3</x:v>
      </x:c>
      <x:c r="I96" s="20" t="n">
        <x:v>17</x:v>
      </x:c>
      <x:c r="J96" s="20" t="n">
        <x:v>18.1</x:v>
      </x:c>
      <x:c r="K96" s="20" t="n">
        <x:f>SUM(E96:J96)</x:f>
        <x:v>105.9</x:v>
      </x:c>
      <x:c r="L96" s="17" t="str">
        <x:v>Nice outline with room for development.</x:v>
      </x:c>
    </x:row>
    <x:row r="97">
      <x:c r="A97" s="17" t="str">
        <x:v>SC-0096</x:v>
      </x:c>
      <x:c r="B97" s="17" t="str">
        <x:v>HA-032</x:v>
      </x:c>
      <x:c r="C97" s="17" t="str">
        <x:v>HA Kamal Al Jannat</x:v>
      </x:c>
      <x:c r="D97" s="17" t="str">
        <x:v>Judge C</x:v>
      </x:c>
      <x:c r="E97" s="20" t="n">
        <x:v>16.5</x:v>
      </x:c>
      <x:c r="F97" s="20" t="n">
        <x:v>18.6</x:v>
      </x:c>
      <x:c r="G97" s="20" t="n">
        <x:v>19.1</x:v>
      </x:c>
      <x:c r="H97" s="20" t="n">
        <x:v>17.6</x:v>
      </x:c>
      <x:c r="I97" s="20" t="n">
        <x:v>16.4</x:v>
      </x:c>
      <x:c r="J97" s="20" t="n">
        <x:v>17.4</x:v>
      </x:c>
      <x:c r="K97" s="20" t="n">
        <x:f>SUM(E97:J97)</x:f>
        <x:v>105.60000000000002</x:v>
      </x:c>
      <x:c r="L97" s="17" t="str">
        <x:v>Strong presence with balanced strengths.</x:v>
      </x:c>
    </x:row>
    <x:row r="98">
      <x:c r="A98" s="17" t="str">
        <x:v>SC-0097</x:v>
      </x:c>
      <x:c r="B98" s="17" t="str">
        <x:v>HA-033</x:v>
      </x:c>
      <x:c r="C98" s="17" t="str">
        <x:v>HA Asha Pearl</x:v>
      </x:c>
      <x:c r="D98" s="17" t="str">
        <x:v>Judge A</x:v>
      </x:c>
      <x:c r="E98" s="20" t="n">
        <x:v>19.8</x:v>
      </x:c>
      <x:c r="F98" s="20" t="n">
        <x:v>18.4</x:v>
      </x:c>
      <x:c r="G98" s="20" t="n">
        <x:v>20</x:v>
      </x:c>
      <x:c r="H98" s="20" t="n">
        <x:v>19.7</x:v>
      </x:c>
      <x:c r="I98" s="20" t="n">
        <x:v>18</x:v>
      </x:c>
      <x:c r="J98" s="20" t="n">
        <x:v>18</x:v>
      </x:c>
      <x:c r="K98" s="20" t="n">
        <x:f>SUM(E98:J98)</x:f>
        <x:v>113.9</x:v>
      </x:c>
      <x:c r="L98" s="17" t="str">
        <x:v>Good quality; monitor consistency across traits.</x:v>
      </x:c>
    </x:row>
    <x:row r="99">
      <x:c r="A99" s="17" t="str">
        <x:v>SC-0098</x:v>
      </x:c>
      <x:c r="B99" s="17" t="str">
        <x:v>HA-033</x:v>
      </x:c>
      <x:c r="C99" s="17" t="str">
        <x:v>HA Asha Pearl</x:v>
      </x:c>
      <x:c r="D99" s="17" t="str">
        <x:v>Judge B</x:v>
      </x:c>
      <x:c r="E99" s="20" t="n">
        <x:v>19.4</x:v>
      </x:c>
      <x:c r="F99" s="20" t="n">
        <x:v>17.4</x:v>
      </x:c>
      <x:c r="G99" s="20" t="n">
        <x:v>19.9</x:v>
      </x:c>
      <x:c r="H99" s="20" t="n">
        <x:v>19.1</x:v>
      </x:c>
      <x:c r="I99" s="20" t="n">
        <x:v>19</x:v>
      </x:c>
      <x:c r="J99" s="20" t="n">
        <x:v>18.9</x:v>
      </x:c>
      <x:c r="K99" s="20" t="n">
        <x:f>SUM(E99:J99)</x:f>
        <x:v>113.69999999999999</x:v>
      </x:c>
      <x:c r="L99" s="17" t="str">
        <x:v>Good quality; monitor consistency across traits.</x:v>
      </x:c>
    </x:row>
    <x:row r="100">
      <x:c r="A100" s="17" t="str">
        <x:v>SC-0099</x:v>
      </x:c>
      <x:c r="B100" s="17" t="str">
        <x:v>HA-033</x:v>
      </x:c>
      <x:c r="C100" s="17" t="str">
        <x:v>HA Asha Pearl</x:v>
      </x:c>
      <x:c r="D100" s="17" t="str">
        <x:v>Judge C</x:v>
      </x:c>
      <x:c r="E100" s="20" t="n">
        <x:v>18.1</x:v>
      </x:c>
      <x:c r="F100" s="20" t="n">
        <x:v>15.7</x:v>
      </x:c>
      <x:c r="G100" s="20" t="n">
        <x:v>18.1</x:v>
      </x:c>
      <x:c r="H100" s="20" t="n">
        <x:v>18.2</x:v>
      </x:c>
      <x:c r="I100" s="20" t="n">
        <x:v>19.1</x:v>
      </x:c>
      <x:c r="J100" s="20" t="n">
        <x:v>18.4</x:v>
      </x:c>
      <x:c r="K100" s="20" t="n">
        <x:f>SUM(E100:J100)</x:f>
        <x:v>107.6</x:v>
      </x:c>
      <x:c r="L100" s="17" t="str">
        <x:v>Solid score pattern; useful for bloodline comparison.</x:v>
      </x:c>
    </x:row>
    <x:row r="101">
      <x:c r="A101" s="17" t="str">
        <x:v>SC-0100</x:v>
      </x:c>
      <x:c r="B101" s="17" t="str">
        <x:v>HA-034</x:v>
      </x:c>
      <x:c r="C101" s="17" t="str">
        <x:v>HA Rami Royal Flame</x:v>
      </x:c>
      <x:c r="D101" s="17" t="str">
        <x:v>Judge A</x:v>
      </x:c>
      <x:c r="E101" s="20" t="n">
        <x:v>20</x:v>
      </x:c>
      <x:c r="F101" s="20" t="n">
        <x:v>20</x:v>
      </x:c>
      <x:c r="G101" s="20" t="n">
        <x:v>19.1</x:v>
      </x:c>
      <x:c r="H101" s="20" t="n">
        <x:v>17.7</x:v>
      </x:c>
      <x:c r="I101" s="20" t="n">
        <x:v>19.3</x:v>
      </x:c>
      <x:c r="J101" s="20" t="n">
        <x:v>19</x:v>
      </x:c>
      <x:c r="K101" s="20" t="n">
        <x:f>SUM(E101:J101)</x:f>
        <x:v>115.1</x:v>
      </x:c>
      <x:c r="L101" s="17" t="str">
        <x:v>Attractive profile and useful movement.</x:v>
      </x:c>
    </x:row>
    <x:row r="102">
      <x:c r="A102" s="17" t="str">
        <x:v>SC-0101</x:v>
      </x:c>
      <x:c r="B102" s="17" t="str">
        <x:v>HA-034</x:v>
      </x:c>
      <x:c r="C102" s="17" t="str">
        <x:v>HA Rami Royal Flame</x:v>
      </x:c>
      <x:c r="D102" s="17" t="str">
        <x:v>Judge B</x:v>
      </x:c>
      <x:c r="E102" s="20" t="n">
        <x:v>19.1</x:v>
      </x:c>
      <x:c r="F102" s="20" t="n">
        <x:v>18</x:v>
      </x:c>
      <x:c r="G102" s="20" t="n">
        <x:v>18.9</x:v>
      </x:c>
      <x:c r="H102" s="20" t="n">
        <x:v>18.1</x:v>
      </x:c>
      <x:c r="I102" s="20" t="n">
        <x:v>19.8</x:v>
      </x:c>
      <x:c r="J102" s="20" t="n">
        <x:v>18.9</x:v>
      </x:c>
      <x:c r="K102" s="20" t="n">
        <x:f>SUM(E102:J102)</x:f>
        <x:v>112.79999999999998</x:v>
      </x:c>
      <x:c r="L102" s="17" t="str">
        <x:v>Good quality; monitor consistency across traits.</x:v>
      </x:c>
    </x:row>
    <x:row r="103">
      <x:c r="A103" s="17" t="str">
        <x:v>SC-0102</x:v>
      </x:c>
      <x:c r="B103" s="17" t="str">
        <x:v>HA-034</x:v>
      </x:c>
      <x:c r="C103" s="17" t="str">
        <x:v>HA Rami Royal Flame</x:v>
      </x:c>
      <x:c r="D103" s="17" t="str">
        <x:v>Judge C</x:v>
      </x:c>
      <x:c r="E103" s="20" t="n">
        <x:v>20</x:v>
      </x:c>
      <x:c r="F103" s="20" t="n">
        <x:v>20</x:v>
      </x:c>
      <x:c r="G103" s="20" t="n">
        <x:v>18</x:v>
      </x:c>
      <x:c r="H103" s="20" t="n">
        <x:v>18.3</x:v>
      </x:c>
      <x:c r="I103" s="20" t="n">
        <x:v>20</x:v>
      </x:c>
      <x:c r="J103" s="20" t="n">
        <x:v>18.8</x:v>
      </x:c>
      <x:c r="K103" s="20" t="n">
        <x:f>SUM(E103:J103)</x:f>
        <x:v>115.1</x:v>
      </x:c>
      <x:c r="L103" s="17" t="str">
        <x:v>Strong presence with balanced strengths.</x:v>
      </x:c>
    </x:row>
    <x:row r="104">
      <x:c r="A104" s="17" t="str">
        <x:v>SC-0103</x:v>
      </x:c>
      <x:c r="B104" s="17" t="str">
        <x:v>HA-035</x:v>
      </x:c>
      <x:c r="C104" s="17" t="str">
        <x:v>HA Yara Dream</x:v>
      </x:c>
      <x:c r="D104" s="17" t="str">
        <x:v>Judge A</x:v>
      </x:c>
      <x:c r="E104" s="20" t="n">
        <x:v>19</x:v>
      </x:c>
      <x:c r="F104" s="20" t="n">
        <x:v>18.8</x:v>
      </x:c>
      <x:c r="G104" s="20" t="n">
        <x:v>18.5</x:v>
      </x:c>
      <x:c r="H104" s="20" t="n">
        <x:v>17.5</x:v>
      </x:c>
      <x:c r="I104" s="20" t="n">
        <x:v>17.9</x:v>
      </x:c>
      <x:c r="J104" s="20" t="n">
        <x:v>18.5</x:v>
      </x:c>
      <x:c r="K104" s="20" t="n">
        <x:f>SUM(E104:J104)</x:f>
        <x:v>110.19999999999999</x:v>
      </x:c>
      <x:c r="L104" s="17" t="str">
        <x:v>Shows promise across multiple halter traits.</x:v>
      </x:c>
    </x:row>
    <x:row r="105">
      <x:c r="A105" s="17" t="str">
        <x:v>SC-0104</x:v>
      </x:c>
      <x:c r="B105" s="17" t="str">
        <x:v>HA-035</x:v>
      </x:c>
      <x:c r="C105" s="17" t="str">
        <x:v>HA Yara Dream</x:v>
      </x:c>
      <x:c r="D105" s="17" t="str">
        <x:v>Judge B</x:v>
      </x:c>
      <x:c r="E105" s="20" t="n">
        <x:v>19.4</x:v>
      </x:c>
      <x:c r="F105" s="20" t="n">
        <x:v>18</x:v>
      </x:c>
      <x:c r="G105" s="20" t="n">
        <x:v>19.1</x:v>
      </x:c>
      <x:c r="H105" s="20" t="n">
        <x:v>18.5</x:v>
      </x:c>
      <x:c r="I105" s="20" t="n">
        <x:v>19</x:v>
      </x:c>
      <x:c r="J105" s="20" t="n">
        <x:v>18.5</x:v>
      </x:c>
      <x:c r="K105" s="20" t="n">
        <x:f>SUM(E105:J105)</x:f>
        <x:v>112.5</x:v>
      </x:c>
      <x:c r="L105" s="17" t="str">
        <x:v>Attractive profile and useful movement.</x:v>
      </x:c>
    </x:row>
    <x:row r="106">
      <x:c r="A106" s="17" t="str">
        <x:v>SC-0105</x:v>
      </x:c>
      <x:c r="B106" s="17" t="str">
        <x:v>HA-035</x:v>
      </x:c>
      <x:c r="C106" s="17" t="str">
        <x:v>HA Yara Dream</x:v>
      </x:c>
      <x:c r="D106" s="17" t="str">
        <x:v>Judge C</x:v>
      </x:c>
      <x:c r="E106" s="20" t="n">
        <x:v>18.9</x:v>
      </x:c>
      <x:c r="F106" s="20" t="n">
        <x:v>19</x:v>
      </x:c>
      <x:c r="G106" s="20" t="n">
        <x:v>18.3</x:v>
      </x:c>
      <x:c r="H106" s="20" t="n">
        <x:v>18.5</x:v>
      </x:c>
      <x:c r="I106" s="20" t="n">
        <x:v>19.3</x:v>
      </x:c>
      <x:c r="J106" s="20" t="n">
        <x:v>17.5</x:v>
      </x:c>
      <x:c r="K106" s="20" t="n">
        <x:f>SUM(E106:J106)</x:f>
        <x:v>111.5</x:v>
      </x:c>
      <x:c r="L106" s="17" t="str">
        <x:v>Good quality; monitor consistency across traits.</x:v>
      </x:c>
    </x:row>
    <x:row r="107">
      <x:c r="A107" s="17" t="str">
        <x:v>SC-0106</x:v>
      </x:c>
      <x:c r="B107" s="17" t="str">
        <x:v>HA-036</x:v>
      </x:c>
      <x:c r="C107" s="17" t="str">
        <x:v>HA Omar Golden Star</x:v>
      </x:c>
      <x:c r="D107" s="17" t="str">
        <x:v>Judge A</x:v>
      </x:c>
      <x:c r="E107" s="20" t="n">
        <x:v>18.6</x:v>
      </x:c>
      <x:c r="F107" s="20" t="n">
        <x:v>17.6</x:v>
      </x:c>
      <x:c r="G107" s="20" t="n">
        <x:v>18.5</x:v>
      </x:c>
      <x:c r="H107" s="20" t="n">
        <x:v>18.4</x:v>
      </x:c>
      <x:c r="I107" s="20" t="n">
        <x:v>19.1</x:v>
      </x:c>
      <x:c r="J107" s="20" t="n">
        <x:v>19.1</x:v>
      </x:c>
      <x:c r="K107" s="20" t="n">
        <x:f>SUM(E107:J107)</x:f>
        <x:v>111.29999999999998</x:v>
      </x:c>
      <x:c r="L107" s="17" t="str">
        <x:v>Good quality; monitor consistency across traits.</x:v>
      </x:c>
    </x:row>
    <x:row r="108">
      <x:c r="A108" s="17" t="str">
        <x:v>SC-0107</x:v>
      </x:c>
      <x:c r="B108" s="17" t="str">
        <x:v>HA-036</x:v>
      </x:c>
      <x:c r="C108" s="17" t="str">
        <x:v>HA Omar Golden Star</x:v>
      </x:c>
      <x:c r="D108" s="17" t="str">
        <x:v>Judge B</x:v>
      </x:c>
      <x:c r="E108" s="20" t="n">
        <x:v>19</x:v>
      </x:c>
      <x:c r="F108" s="20" t="n">
        <x:v>19.2</x:v>
      </x:c>
      <x:c r="G108" s="20" t="n">
        <x:v>16.6</x:v>
      </x:c>
      <x:c r="H108" s="20" t="n">
        <x:v>18.7</x:v>
      </x:c>
      <x:c r="I108" s="20" t="n">
        <x:v>18.1</x:v>
      </x:c>
      <x:c r="J108" s="20" t="n">
        <x:v>20</x:v>
      </x:c>
      <x:c r="K108" s="20" t="n">
        <x:f>SUM(E108:J108)</x:f>
        <x:v>111.6</x:v>
      </x:c>
      <x:c r="L108" s="17" t="str">
        <x:v>Good quality; monitor consistency across traits.</x:v>
      </x:c>
    </x:row>
    <x:row r="109">
      <x:c r="A109" s="17" t="str">
        <x:v>SC-0108</x:v>
      </x:c>
      <x:c r="B109" s="17" t="str">
        <x:v>HA-036</x:v>
      </x:c>
      <x:c r="C109" s="17" t="str">
        <x:v>HA Omar Golden Star</x:v>
      </x:c>
      <x:c r="D109" s="17" t="str">
        <x:v>Judge C</x:v>
      </x:c>
      <x:c r="E109" s="20" t="n">
        <x:v>19.1</x:v>
      </x:c>
      <x:c r="F109" s="20" t="n">
        <x:v>16.3</x:v>
      </x:c>
      <x:c r="G109" s="20" t="n">
        <x:v>17.4</x:v>
      </x:c>
      <x:c r="H109" s="20" t="n">
        <x:v>16.9</x:v>
      </x:c>
      <x:c r="I109" s="20" t="n">
        <x:v>19.8</x:v>
      </x:c>
      <x:c r="J109" s="20" t="n">
        <x:v>20</x:v>
      </x:c>
      <x:c r="K109" s="20" t="n">
        <x:f>SUM(E109:J109)</x:f>
        <x:v>109.5</x:v>
      </x:c>
      <x:c r="L109" s="17" t="str">
        <x:v>Attractive profile and useful movement.</x:v>
      </x:c>
    </x:row>
    <x:row r="110">
      <x:c r="A110" s="17" t="str">
        <x:v>SC-0109</x:v>
      </x:c>
      <x:c r="B110" s="17" t="str">
        <x:v>HA-037</x:v>
      </x:c>
      <x:c r="C110" s="17" t="str">
        <x:v>HA Selena El Noor</x:v>
      </x:c>
      <x:c r="D110" s="17" t="str">
        <x:v>Judge A</x:v>
      </x:c>
      <x:c r="E110" s="20" t="n">
        <x:v>17.6</x:v>
      </x:c>
      <x:c r="F110" s="20" t="n">
        <x:v>18.9</x:v>
      </x:c>
      <x:c r="G110" s="20" t="n">
        <x:v>20</x:v>
      </x:c>
      <x:c r="H110" s="20" t="n">
        <x:v>18.3</x:v>
      </x:c>
      <x:c r="I110" s="20" t="n">
        <x:v>15.6</x:v>
      </x:c>
      <x:c r="J110" s="20" t="n">
        <x:v>18.2</x:v>
      </x:c>
      <x:c r="K110" s="20" t="n">
        <x:f>SUM(E110:J110)</x:f>
        <x:v>108.6</x:v>
      </x:c>
      <x:c r="L110" s="17" t="str">
        <x:v>Good quality; monitor consistency across traits.</x:v>
      </x:c>
    </x:row>
    <x:row r="111">
      <x:c r="A111" s="17" t="str">
        <x:v>SC-0110</x:v>
      </x:c>
      <x:c r="B111" s="17" t="str">
        <x:v>HA-037</x:v>
      </x:c>
      <x:c r="C111" s="17" t="str">
        <x:v>HA Selena El Noor</x:v>
      </x:c>
      <x:c r="D111" s="17" t="str">
        <x:v>Judge B</x:v>
      </x:c>
      <x:c r="E111" s="20" t="n">
        <x:v>18</x:v>
      </x:c>
      <x:c r="F111" s="20" t="n">
        <x:v>18.5</x:v>
      </x:c>
      <x:c r="G111" s="20" t="n">
        <x:v>17.4</x:v>
      </x:c>
      <x:c r="H111" s="20" t="n">
        <x:v>19.1</x:v>
      </x:c>
      <x:c r="I111" s="20" t="n">
        <x:v>19</x:v>
      </x:c>
      <x:c r="J111" s="20" t="n">
        <x:v>16.8</x:v>
      </x:c>
      <x:c r="K111" s="20" t="n">
        <x:f>SUM(E111:J111)</x:f>
        <x:v>108.8</x:v>
      </x:c>
      <x:c r="L111" s="17" t="str">
        <x:v>Nice outline with room for development.</x:v>
      </x:c>
    </x:row>
    <x:row r="112">
      <x:c r="A112" s="17" t="str">
        <x:v>SC-0111</x:v>
      </x:c>
      <x:c r="B112" s="17" t="str">
        <x:v>HA-037</x:v>
      </x:c>
      <x:c r="C112" s="17" t="str">
        <x:v>HA Selena El Noor</x:v>
      </x:c>
      <x:c r="D112" s="17" t="str">
        <x:v>Judge C</x:v>
      </x:c>
      <x:c r="E112" s="20" t="n">
        <x:v>16.2</x:v>
      </x:c>
      <x:c r="F112" s="20" t="n">
        <x:v>18.1</x:v>
      </x:c>
      <x:c r="G112" s="20" t="n">
        <x:v>15.6</x:v>
      </x:c>
      <x:c r="H112" s="20" t="n">
        <x:v>18.5</x:v>
      </x:c>
      <x:c r="I112" s="20" t="n">
        <x:v>17.7</x:v>
      </x:c>
      <x:c r="J112" s="20" t="n">
        <x:v>16.2</x:v>
      </x:c>
      <x:c r="K112" s="20" t="n">
        <x:f>SUM(E112:J112)</x:f>
        <x:v>102.30000000000001</x:v>
      </x:c>
      <x:c r="L112" s="17" t="str">
        <x:v>Nice outline with room for development.</x:v>
      </x:c>
    </x:row>
    <x:row r="113">
      <x:c r="A113" s="17" t="str">
        <x:v>SC-0112</x:v>
      </x:c>
      <x:c r="B113" s="17" t="str">
        <x:v>HA-038</x:v>
      </x:c>
      <x:c r="C113" s="17" t="str">
        <x:v>HA Nasim Pearl</x:v>
      </x:c>
      <x:c r="D113" s="17" t="str">
        <x:v>Judge A</x:v>
      </x:c>
      <x:c r="E113" s="20" t="n">
        <x:v>19</x:v>
      </x:c>
      <x:c r="F113" s="20" t="n">
        <x:v>19.1</x:v>
      </x:c>
      <x:c r="G113" s="20" t="n">
        <x:v>17.8</x:v>
      </x:c>
      <x:c r="H113" s="20" t="n">
        <x:v>19.1</x:v>
      </x:c>
      <x:c r="I113" s="20" t="n">
        <x:v>19.2</x:v>
      </x:c>
      <x:c r="J113" s="20" t="n">
        <x:v>17</x:v>
      </x:c>
      <x:c r="K113" s="20" t="n">
        <x:f>SUM(E113:J113)</x:f>
        <x:v>111.2</x:v>
      </x:c>
      <x:c r="L113" s="17" t="str">
        <x:v>Strong presence with balanced strengths.</x:v>
      </x:c>
    </x:row>
    <x:row r="114">
      <x:c r="A114" s="17" t="str">
        <x:v>SC-0113</x:v>
      </x:c>
      <x:c r="B114" s="17" t="str">
        <x:v>HA-038</x:v>
      </x:c>
      <x:c r="C114" s="17" t="str">
        <x:v>HA Nasim Pearl</x:v>
      </x:c>
      <x:c r="D114" s="17" t="str">
        <x:v>Judge B</x:v>
      </x:c>
      <x:c r="E114" s="20" t="n">
        <x:v>16.9</x:v>
      </x:c>
      <x:c r="F114" s="20" t="n">
        <x:v>20</x:v>
      </x:c>
      <x:c r="G114" s="20" t="n">
        <x:v>17.9</x:v>
      </x:c>
      <x:c r="H114" s="20" t="n">
        <x:v>17.2</x:v>
      </x:c>
      <x:c r="I114" s="20" t="n">
        <x:v>18.7</x:v>
      </x:c>
      <x:c r="J114" s="20" t="n">
        <x:v>18.4</x:v>
      </x:c>
      <x:c r="K114" s="20" t="n">
        <x:f>SUM(E114:J114)</x:f>
        <x:v>109.1</x:v>
      </x:c>
      <x:c r="L114" s="17" t="str">
        <x:v>Attractive profile and useful movement.</x:v>
      </x:c>
    </x:row>
    <x:row r="115">
      <x:c r="A115" s="17" t="str">
        <x:v>SC-0114</x:v>
      </x:c>
      <x:c r="B115" s="17" t="str">
        <x:v>HA-038</x:v>
      </x:c>
      <x:c r="C115" s="17" t="str">
        <x:v>HA Nasim Pearl</x:v>
      </x:c>
      <x:c r="D115" s="17" t="str">
        <x:v>Judge C</x:v>
      </x:c>
      <x:c r="E115" s="20" t="n">
        <x:v>19.5</x:v>
      </x:c>
      <x:c r="F115" s="20" t="n">
        <x:v>20</x:v>
      </x:c>
      <x:c r="G115" s="20" t="n">
        <x:v>17.3</x:v>
      </x:c>
      <x:c r="H115" s="20" t="n">
        <x:v>18.8</x:v>
      </x:c>
      <x:c r="I115" s="20" t="n">
        <x:v>17.1</x:v>
      </x:c>
      <x:c r="J115" s="20" t="n">
        <x:v>17.4</x:v>
      </x:c>
      <x:c r="K115" s="20" t="n">
        <x:f>SUM(E115:J115)</x:f>
        <x:v>110.1</x:v>
      </x:c>
      <x:c r="L115" s="17" t="str">
        <x:v>Solid score pattern; useful for bloodline comparison.</x:v>
      </x:c>
    </x:row>
    <x:row r="116">
      <x:c r="A116" s="17" t="str">
        <x:v>SC-0115</x:v>
      </x:c>
      <x:c r="B116" s="17" t="str">
        <x:v>HA-039</x:v>
      </x:c>
      <x:c r="C116" s="17" t="str">
        <x:v>HA Leila Royal Flame</x:v>
      </x:c>
      <x:c r="D116" s="17" t="str">
        <x:v>Judge A</x:v>
      </x:c>
      <x:c r="E116" s="20" t="n">
        <x:v>18.8</x:v>
      </x:c>
      <x:c r="F116" s="20" t="n">
        <x:v>20</x:v>
      </x:c>
      <x:c r="G116" s="20" t="n">
        <x:v>18.1</x:v>
      </x:c>
      <x:c r="H116" s="20" t="n">
        <x:v>19.9</x:v>
      </x:c>
      <x:c r="I116" s="20" t="n">
        <x:v>20</x:v>
      </x:c>
      <x:c r="J116" s="20" t="n">
        <x:v>19</x:v>
      </x:c>
      <x:c r="K116" s="20" t="n">
        <x:f>SUM(E116:J116)</x:f>
        <x:v>115.8</x:v>
      </x:c>
      <x:c r="L116" s="17" t="str">
        <x:v>Shows promise across multiple halter traits.</x:v>
      </x:c>
    </x:row>
    <x:row r="117">
      <x:c r="A117" s="17" t="str">
        <x:v>SC-0116</x:v>
      </x:c>
      <x:c r="B117" s="17" t="str">
        <x:v>HA-039</x:v>
      </x:c>
      <x:c r="C117" s="17" t="str">
        <x:v>HA Leila Royal Flame</x:v>
      </x:c>
      <x:c r="D117" s="17" t="str">
        <x:v>Judge B</x:v>
      </x:c>
      <x:c r="E117" s="20" t="n">
        <x:v>20</x:v>
      </x:c>
      <x:c r="F117" s="20" t="n">
        <x:v>17.5</x:v>
      </x:c>
      <x:c r="G117" s="20" t="n">
        <x:v>18.3</x:v>
      </x:c>
      <x:c r="H117" s="20" t="n">
        <x:v>18</x:v>
      </x:c>
      <x:c r="I117" s="20" t="n">
        <x:v>17.9</x:v>
      </x:c>
      <x:c r="J117" s="20" t="n">
        <x:v>16.7</x:v>
      </x:c>
      <x:c r="K117" s="20" t="n">
        <x:f>SUM(E117:J117)</x:f>
        <x:v>108.39999999999999</x:v>
      </x:c>
      <x:c r="L117" s="17" t="str">
        <x:v>Solid score pattern; useful for bloodline comparison.</x:v>
      </x:c>
    </x:row>
    <x:row r="118">
      <x:c r="A118" s="17" t="str">
        <x:v>SC-0117</x:v>
      </x:c>
      <x:c r="B118" s="17" t="str">
        <x:v>HA-039</x:v>
      </x:c>
      <x:c r="C118" s="17" t="str">
        <x:v>HA Leila Royal Flame</x:v>
      </x:c>
      <x:c r="D118" s="17" t="str">
        <x:v>Judge C</x:v>
      </x:c>
      <x:c r="E118" s="20" t="n">
        <x:v>17.6</x:v>
      </x:c>
      <x:c r="F118" s="20" t="n">
        <x:v>17.7</x:v>
      </x:c>
      <x:c r="G118" s="20" t="n">
        <x:v>18.3</x:v>
      </x:c>
      <x:c r="H118" s="20" t="n">
        <x:v>18</x:v>
      </x:c>
      <x:c r="I118" s="20" t="n">
        <x:v>18.3</x:v>
      </x:c>
      <x:c r="J118" s="20" t="n">
        <x:v>17.8</x:v>
      </x:c>
      <x:c r="K118" s="20" t="n">
        <x:f>SUM(E118:J118)</x:f>
        <x:v>107.69999999999999</x:v>
      </x:c>
      <x:c r="L118" s="17" t="str">
        <x:v>Attractive profile and useful movement.</x:v>
      </x:c>
    </x:row>
    <x:row r="119">
      <x:c r="A119" s="17" t="str">
        <x:v>SC-0118</x:v>
      </x:c>
      <x:c r="B119" s="17" t="str">
        <x:v>HA-040</x:v>
      </x:c>
      <x:c r="C119" s="17" t="str">
        <x:v>HA Kairo Marquis</x:v>
      </x:c>
      <x:c r="D119" s="17" t="str">
        <x:v>Judge A</x:v>
      </x:c>
      <x:c r="E119" s="20" t="n">
        <x:v>20</x:v>
      </x:c>
      <x:c r="F119" s="20" t="n">
        <x:v>20</x:v>
      </x:c>
      <x:c r="G119" s="20" t="n">
        <x:v>20</x:v>
      </x:c>
      <x:c r="H119" s="20" t="n">
        <x:v>19.2</x:v>
      </x:c>
      <x:c r="I119" s="20" t="n">
        <x:v>19.9</x:v>
      </x:c>
      <x:c r="J119" s="20" t="n">
        <x:v>19.3</x:v>
      </x:c>
      <x:c r="K119" s="20" t="n">
        <x:f>SUM(E119:J119)</x:f>
        <x:v>118.39999999999999</x:v>
      </x:c>
      <x:c r="L119" s="17" t="str">
        <x:v>Nice outline with room for development.</x:v>
      </x:c>
    </x:row>
    <x:row r="120">
      <x:c r="A120" s="17" t="str">
        <x:v>SC-0119</x:v>
      </x:c>
      <x:c r="B120" s="17" t="str">
        <x:v>HA-040</x:v>
      </x:c>
      <x:c r="C120" s="17" t="str">
        <x:v>HA Kairo Marquis</x:v>
      </x:c>
      <x:c r="D120" s="17" t="str">
        <x:v>Judge B</x:v>
      </x:c>
      <x:c r="E120" s="20" t="n">
        <x:v>18.3</x:v>
      </x:c>
      <x:c r="F120" s="20" t="n">
        <x:v>19.1</x:v>
      </x:c>
      <x:c r="G120" s="20" t="n">
        <x:v>19.4</x:v>
      </x:c>
      <x:c r="H120" s="20" t="n">
        <x:v>19.7</x:v>
      </x:c>
      <x:c r="I120" s="20" t="n">
        <x:v>18.6</x:v>
      </x:c>
      <x:c r="J120" s="20" t="n">
        <x:v>18.2</x:v>
      </x:c>
      <x:c r="K120" s="20" t="n">
        <x:f>SUM(E120:J120)</x:f>
        <x:v>113.3</x:v>
      </x:c>
      <x:c r="L120" s="17" t="str">
        <x:v>Shows promise across multiple halter traits.</x:v>
      </x:c>
    </x:row>
    <x:row r="121">
      <x:c r="A121" s="17" t="str">
        <x:v>SC-0120</x:v>
      </x:c>
      <x:c r="B121" s="17" t="str">
        <x:v>HA-040</x:v>
      </x:c>
      <x:c r="C121" s="17" t="str">
        <x:v>HA Kairo Marquis</x:v>
      </x:c>
      <x:c r="D121" s="17" t="str">
        <x:v>Judge C</x:v>
      </x:c>
      <x:c r="E121" s="20" t="n">
        <x:v>18.8</x:v>
      </x:c>
      <x:c r="F121" s="20" t="n">
        <x:v>16.8</x:v>
      </x:c>
      <x:c r="G121" s="20" t="n">
        <x:v>17.5</x:v>
      </x:c>
      <x:c r="H121" s="20" t="n">
        <x:v>18.2</x:v>
      </x:c>
      <x:c r="I121" s="20" t="n">
        <x:v>20</x:v>
      </x:c>
      <x:c r="J121" s="20" t="n">
        <x:v>18.8</x:v>
      </x:c>
      <x:c r="K121" s="20" t="n">
        <x:f>SUM(E121:J121)</x:f>
        <x:v>110.1</x:v>
      </x:c>
      <x:c r="L121" s="17" t="str">
        <x:v>Attractive profile and useful movement.</x:v>
      </x:c>
    </x:row>
  </x:sheetData>
  <x:pageMargins left="0.7" right="0.7" top="0.75" bottom="0.75" header="0.3" footer="0.3"/>
  <x:tableParts count="1">
    <x:tablePart xmlns:r="http://schemas.openxmlformats.org/officeDocument/2006/relationships" r:id="Rfab727c6bd7f48b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>
      <x:c r="A1" s="16" t="str">
        <x:v>HorseID</x:v>
      </x:c>
      <x:c r="B1" s="16" t="str">
        <x:v>RegisteredName</x:v>
      </x:c>
      <x:c r="C1" s="16" t="str">
        <x:v>Sire</x:v>
      </x:c>
      <x:c r="D1" s="16" t="str">
        <x:v>Sex</x:v>
      </x:c>
      <x:c r="E1" s="16" t="str">
        <x:v>AgeGroup</x:v>
      </x:c>
      <x:c r="F1" s="16" t="str">
        <x:v>Avg_Type</x:v>
      </x:c>
      <x:c r="G1" s="16" t="str">
        <x:v>Avg_Head_Neck</x:v>
      </x:c>
      <x:c r="H1" s="16" t="str">
        <x:v>Avg_Body_Topline</x:v>
      </x:c>
      <x:c r="I1" s="16" t="str">
        <x:v>Avg_Legs</x:v>
      </x:c>
      <x:c r="J1" s="16" t="str">
        <x:v>Avg_Movement</x:v>
      </x:c>
      <x:c r="K1" s="16" t="str">
        <x:v>Avg_Balance</x:v>
      </x:c>
      <x:c r="L1" s="16" t="str">
        <x:v>Avg_Total</x:v>
      </x:c>
      <x:c r="M1" s="16" t="str">
        <x:v>Rank</x:v>
      </x:c>
      <x:c r="N1" s="16" t="str">
        <x:v>ScoreTier</x:v>
      </x:c>
      <x:c r="O1" s="16" t="str">
        <x:v>Main_Strength</x:v>
      </x:c>
      <x:c r="P1" s="16" t="str">
        <x:v>Focus_Area</x:v>
      </x:c>
    </x:row>
    <x:row r="2">
      <x:c r="A2" s="17" t="str">
        <x:v>HA-001</x:v>
      </x:c>
      <x:c r="B2" s="17" t="str">
        <x:v>HA Amira Legacy</x:v>
      </x:c>
      <x:c r="C2" s="17" t="str">
        <x:v>Pogrom</x:v>
      </x:c>
      <x:c r="D2" s="17" t="str">
        <x:v>Gelding</x:v>
      </x:c>
      <x:c r="E2" s="17" t="str">
        <x:v>Young Horse</x:v>
      </x:c>
      <x:c r="F2" s="22" t="n">
        <x:f>AVERAGEIF(Judge_Scores!$B$2:$B$121,$A2,Judge_Scores!$E$2:$E$121)</x:f>
        <x:v>18.53333333333333</x:v>
      </x:c>
      <x:c r="G2" s="22" t="n">
        <x:f>AVERAGEIF(Judge_Scores!$B$2:$B$121,$A2,Judge_Scores!$F$2:$F$121)</x:f>
        <x:v>19.033333333333335</x:v>
      </x:c>
      <x:c r="H2" s="22" t="n">
        <x:f>AVERAGEIF(Judge_Scores!$B$2:$B$121,$A2,Judge_Scores!$G$2:$G$121)</x:f>
        <x:v>19.1</x:v>
      </x:c>
      <x:c r="I2" s="22" t="n">
        <x:f>AVERAGEIF(Judge_Scores!$B$2:$B$121,$A2,Judge_Scores!$H$2:$H$121)</x:f>
        <x:v>18.033333333333335</x:v>
      </x:c>
      <x:c r="J2" s="22" t="n">
        <x:f>AVERAGEIF(Judge_Scores!$B$2:$B$121,$A2,Judge_Scores!$I$2:$I$121)</x:f>
        <x:v>18.933333333333334</x:v>
      </x:c>
      <x:c r="K2" s="22" t="n">
        <x:f>AVERAGEIF(Judge_Scores!$B$2:$B$121,$A2,Judge_Scores!$J$2:$J$121)</x:f>
        <x:v>19.8</x:v>
      </x:c>
      <x:c r="L2" s="22" t="n">
        <x:f>AVERAGEIF(Judge_Scores!$B$2:$B$121,$A2,Judge_Scores!$K$2:$K$121)</x:f>
        <x:v>113.43333333333332</x:v>
      </x:c>
      <x:c r="M2" s="17" t="n">
        <x:f>1+COUNTIF($L$2:$L$41,"&gt;"&amp;L2)</x:f>
        <x:v>4</x:v>
      </x:c>
      <x:c r="N2" s="17" t="str">
        <x:f>IF(L2&gt;=112,"Elite",IF(L2&gt;=106,"High",IF(L2&gt;=100,"Developing","Needs Review")))</x:f>
        <x:v>Elite</x:v>
      </x:c>
      <x:c r="O2" s="17" t="str">
        <x:v>Balance</x:v>
      </x:c>
      <x:c r="P2" s="17" t="str">
        <x:v>Legs</x:v>
      </x:c>
    </x:row>
    <x:row r="3">
      <x:c r="A3" s="17" t="str">
        <x:v>HA-002</x:v>
      </x:c>
      <x:c r="B3" s="17" t="str">
        <x:v>HA Basir Royal Flame</x:v>
      </x:c>
      <x:c r="C3" s="17" t="str">
        <x:v>Pogrom</x:v>
      </x:c>
      <x:c r="D3" s="17" t="str">
        <x:v>Colt</x:v>
      </x:c>
      <x:c r="E3" s="17" t="str">
        <x:v>Junior</x:v>
      </x:c>
      <x:c r="F3" s="22" t="n">
        <x:f>AVERAGEIF(Judge_Scores!$B$2:$B$121,$A3,Judge_Scores!$E$2:$E$121)</x:f>
        <x:v>19.03333333333333</x:v>
      </x:c>
      <x:c r="G3" s="22" t="n">
        <x:f>AVERAGEIF(Judge_Scores!$B$2:$B$121,$A3,Judge_Scores!$F$2:$F$121)</x:f>
        <x:v>16.900000000000002</x:v>
      </x:c>
      <x:c r="H3" s="22" t="n">
        <x:f>AVERAGEIF(Judge_Scores!$B$2:$B$121,$A3,Judge_Scores!$G$2:$G$121)</x:f>
        <x:v>19.466666666666665</x:v>
      </x:c>
      <x:c r="I3" s="22" t="n">
        <x:f>AVERAGEIF(Judge_Scores!$B$2:$B$121,$A3,Judge_Scores!$H$2:$H$121)</x:f>
        <x:v>18.7</x:v>
      </x:c>
      <x:c r="J3" s="22" t="n">
        <x:f>AVERAGEIF(Judge_Scores!$B$2:$B$121,$A3,Judge_Scores!$I$2:$I$121)</x:f>
        <x:v>18.599999999999998</x:v>
      </x:c>
      <x:c r="K3" s="22" t="n">
        <x:f>AVERAGEIF(Judge_Scores!$B$2:$B$121,$A3,Judge_Scores!$J$2:$J$121)</x:f>
        <x:v>17.666666666666668</x:v>
      </x:c>
      <x:c r="L3" s="22" t="n">
        <x:f>AVERAGEIF(Judge_Scores!$B$2:$B$121,$A3,Judge_Scores!$K$2:$K$121)</x:f>
        <x:v>110.36666666666667</x:v>
      </x:c>
      <x:c r="M3" s="17" t="n">
        <x:f>1+COUNTIF($L$2:$L$41,"&gt;"&amp;L3)</x:f>
        <x:v>22</x:v>
      </x:c>
      <x:c r="N3" s="17" t="str">
        <x:f>IF(L3&gt;=112,"Elite",IF(L3&gt;=106,"High",IF(L3&gt;=100,"Developing","Needs Review")))</x:f>
        <x:v>High</x:v>
      </x:c>
      <x:c r="O3" s="17" t="str">
        <x:v>Body Topline</x:v>
      </x:c>
      <x:c r="P3" s="17" t="str">
        <x:v>Head Neck</x:v>
      </x:c>
    </x:row>
    <x:row r="4">
      <x:c r="A4" s="17" t="str">
        <x:v>HA-003</x:v>
      </x:c>
      <x:c r="B4" s="17" t="str">
        <x:v>HA Nadir Sundance</x:v>
      </x:c>
      <x:c r="C4" s="17" t="str">
        <x:v>Abha Qatar</x:v>
      </x:c>
      <x:c r="D4" s="17" t="str">
        <x:v>Stallion</x:v>
      </x:c>
      <x:c r="E4" s="17" t="str">
        <x:v>Junior</x:v>
      </x:c>
      <x:c r="F4" s="22" t="n">
        <x:f>AVERAGEIF(Judge_Scores!$B$2:$B$121,$A4,Judge_Scores!$E$2:$E$121)</x:f>
        <x:v>18.266666666666666</x:v>
      </x:c>
      <x:c r="G4" s="22" t="n">
        <x:f>AVERAGEIF(Judge_Scores!$B$2:$B$121,$A4,Judge_Scores!$F$2:$F$121)</x:f>
        <x:v>18.866666666666664</x:v>
      </x:c>
      <x:c r="H4" s="22" t="n">
        <x:f>AVERAGEIF(Judge_Scores!$B$2:$B$121,$A4,Judge_Scores!$G$2:$G$121)</x:f>
        <x:v>18.133333333333333</x:v>
      </x:c>
      <x:c r="I4" s="22" t="n">
        <x:f>AVERAGEIF(Judge_Scores!$B$2:$B$121,$A4,Judge_Scores!$H$2:$H$121)</x:f>
        <x:v>17.03333333333333</x:v>
      </x:c>
      <x:c r="J4" s="22" t="n">
        <x:f>AVERAGEIF(Judge_Scores!$B$2:$B$121,$A4,Judge_Scores!$I$2:$I$121)</x:f>
        <x:v>18</x:v>
      </x:c>
      <x:c r="K4" s="22" t="n">
        <x:f>AVERAGEIF(Judge_Scores!$B$2:$B$121,$A4,Judge_Scores!$J$2:$J$121)</x:f>
        <x:v>17.433333333333334</x:v>
      </x:c>
      <x:c r="L4" s="22" t="n">
        <x:f>AVERAGEIF(Judge_Scores!$B$2:$B$121,$A4,Judge_Scores!$K$2:$K$121)</x:f>
        <x:v>107.73333333333333</x:v>
      </x:c>
      <x:c r="M4" s="17" t="n">
        <x:f>1+COUNTIF($L$2:$L$41,"&gt;"&amp;L4)</x:f>
        <x:v>32</x:v>
      </x:c>
      <x:c r="N4" s="17" t="str">
        <x:f>IF(L4&gt;=112,"Elite",IF(L4&gt;=106,"High",IF(L4&gt;=100,"Developing","Needs Review")))</x:f>
        <x:v>High</x:v>
      </x:c>
      <x:c r="O4" s="17" t="str">
        <x:v>Head Neck</x:v>
      </x:c>
      <x:c r="P4" s="17" t="str">
        <x:v>Legs</x:v>
      </x:c>
    </x:row>
    <x:row r="5">
      <x:c r="A5" s="17" t="str">
        <x:v>HA-004</x:v>
      </x:c>
      <x:c r="B5" s="17" t="str">
        <x:v>HA Layla Dream</x:v>
      </x:c>
      <x:c r="C5" s="17" t="str">
        <x:v>Cavali by Da Valentio</x:v>
      </x:c>
      <x:c r="D5" s="17" t="str">
        <x:v>Mare</x:v>
      </x:c>
      <x:c r="E5" s="17" t="str">
        <x:v>Young Horse</x:v>
      </x:c>
      <x:c r="F5" s="22" t="n">
        <x:f>AVERAGEIF(Judge_Scores!$B$2:$B$121,$A5,Judge_Scores!$E$2:$E$121)</x:f>
        <x:v>18.866666666666667</x:v>
      </x:c>
      <x:c r="G5" s="22" t="n">
        <x:f>AVERAGEIF(Judge_Scores!$B$2:$B$121,$A5,Judge_Scores!$F$2:$F$121)</x:f>
        <x:v>18.96666666666667</x:v>
      </x:c>
      <x:c r="H5" s="22" t="n">
        <x:f>AVERAGEIF(Judge_Scores!$B$2:$B$121,$A5,Judge_Scores!$G$2:$G$121)</x:f>
        <x:v>17.7</x:v>
      </x:c>
      <x:c r="I5" s="22" t="n">
        <x:f>AVERAGEIF(Judge_Scores!$B$2:$B$121,$A5,Judge_Scores!$H$2:$H$121)</x:f>
        <x:v>18.933333333333334</x:v>
      </x:c>
      <x:c r="J5" s="22" t="n">
        <x:f>AVERAGEIF(Judge_Scores!$B$2:$B$121,$A5,Judge_Scores!$I$2:$I$121)</x:f>
        <x:v>18.96666666666667</x:v>
      </x:c>
      <x:c r="K5" s="22" t="n">
        <x:f>AVERAGEIF(Judge_Scores!$B$2:$B$121,$A5,Judge_Scores!$J$2:$J$121)</x:f>
        <x:v>18.7</x:v>
      </x:c>
      <x:c r="L5" s="22" t="n">
        <x:f>AVERAGEIF(Judge_Scores!$B$2:$B$121,$A5,Judge_Scores!$K$2:$K$121)</x:f>
        <x:v>112.13333333333333</x:v>
      </x:c>
      <x:c r="M5" s="17" t="n">
        <x:f>1+COUNTIF($L$2:$L$41,"&gt;"&amp;L5)</x:f>
        <x:v>9</x:v>
      </x:c>
      <x:c r="N5" s="17" t="str">
        <x:f>IF(L5&gt;=112,"Elite",IF(L5&gt;=106,"High",IF(L5&gt;=100,"Developing","Needs Review")))</x:f>
        <x:v>Elite</x:v>
      </x:c>
      <x:c r="O5" s="17" t="str">
        <x:v>Head Neck</x:v>
      </x:c>
      <x:c r="P5" s="17" t="str">
        <x:v>Body Topline</x:v>
      </x:c>
    </x:row>
    <x:row r="6">
      <x:c r="A6" s="17" t="str">
        <x:v>HA-005</x:v>
      </x:c>
      <x:c r="B6" s="17" t="str">
        <x:v>HA Zafir Golden Star</x:v>
      </x:c>
      <x:c r="C6" s="17" t="str">
        <x:v>Van Gogh AM</x:v>
      </x:c>
      <x:c r="D6" s="17" t="str">
        <x:v>Stallion</x:v>
      </x:c>
      <x:c r="E6" s="17" t="str">
        <x:v>Young Horse</x:v>
      </x:c>
      <x:c r="F6" s="22" t="n">
        <x:f>AVERAGEIF(Judge_Scores!$B$2:$B$121,$A6,Judge_Scores!$E$2:$E$121)</x:f>
        <x:v>18.666666666666664</x:v>
      </x:c>
      <x:c r="G6" s="22" t="n">
        <x:f>AVERAGEIF(Judge_Scores!$B$2:$B$121,$A6,Judge_Scores!$F$2:$F$121)</x:f>
        <x:v>18.2</x:v>
      </x:c>
      <x:c r="H6" s="22" t="n">
        <x:f>AVERAGEIF(Judge_Scores!$B$2:$B$121,$A6,Judge_Scores!$G$2:$G$121)</x:f>
        <x:v>18.566666666666666</x:v>
      </x:c>
      <x:c r="I6" s="22" t="n">
        <x:f>AVERAGEIF(Judge_Scores!$B$2:$B$121,$A6,Judge_Scores!$H$2:$H$121)</x:f>
        <x:v>16.833333333333332</x:v>
      </x:c>
      <x:c r="J6" s="22" t="n">
        <x:f>AVERAGEIF(Judge_Scores!$B$2:$B$121,$A6,Judge_Scores!$I$2:$I$121)</x:f>
        <x:v>18.366666666666667</x:v>
      </x:c>
      <x:c r="K6" s="22" t="n">
        <x:f>AVERAGEIF(Judge_Scores!$B$2:$B$121,$A6,Judge_Scores!$J$2:$J$121)</x:f>
        <x:v>17.866666666666667</x:v>
      </x:c>
      <x:c r="L6" s="22" t="n">
        <x:f>AVERAGEIF(Judge_Scores!$B$2:$B$121,$A6,Judge_Scores!$K$2:$K$121)</x:f>
        <x:v>108.5</x:v>
      </x:c>
      <x:c r="M6" s="17" t="n">
        <x:f>1+COUNTIF($L$2:$L$41,"&gt;"&amp;L6)</x:f>
        <x:v>28</x:v>
      </x:c>
      <x:c r="N6" s="17" t="str">
        <x:f>IF(L6&gt;=112,"Elite",IF(L6&gt;=106,"High",IF(L6&gt;=100,"Developing","Needs Review")))</x:f>
        <x:v>High</x:v>
      </x:c>
      <x:c r="O6" s="17" t="str">
        <x:v>Type</x:v>
      </x:c>
      <x:c r="P6" s="17" t="str">
        <x:v>Legs</x:v>
      </x:c>
    </x:row>
    <x:row r="7">
      <x:c r="A7" s="17" t="str">
        <x:v>HA-006</x:v>
      </x:c>
      <x:c r="B7" s="17" t="str">
        <x:v>HA Malika Amethyst</x:v>
      </x:c>
      <x:c r="C7" s="17" t="str">
        <x:v>Van Gogh AM</x:v>
      </x:c>
      <x:c r="D7" s="17" t="str">
        <x:v>Gelding</x:v>
      </x:c>
      <x:c r="E7" s="17" t="str">
        <x:v>Mature</x:v>
      </x:c>
      <x:c r="F7" s="22" t="n">
        <x:f>AVERAGEIF(Judge_Scores!$B$2:$B$121,$A7,Judge_Scores!$E$2:$E$121)</x:f>
        <x:v>18.400000000000002</x:v>
      </x:c>
      <x:c r="G7" s="22" t="n">
        <x:f>AVERAGEIF(Judge_Scores!$B$2:$B$121,$A7,Judge_Scores!$F$2:$F$121)</x:f>
        <x:v>19.2</x:v>
      </x:c>
      <x:c r="H7" s="22" t="n">
        <x:f>AVERAGEIF(Judge_Scores!$B$2:$B$121,$A7,Judge_Scores!$G$2:$G$121)</x:f>
        <x:v>18.5</x:v>
      </x:c>
      <x:c r="I7" s="22" t="n">
        <x:f>AVERAGEIF(Judge_Scores!$B$2:$B$121,$A7,Judge_Scores!$H$2:$H$121)</x:f>
        <x:v>18.5</x:v>
      </x:c>
      <x:c r="J7" s="22" t="n">
        <x:f>AVERAGEIF(Judge_Scores!$B$2:$B$121,$A7,Judge_Scores!$I$2:$I$121)</x:f>
        <x:v>18.233333333333334</x:v>
      </x:c>
      <x:c r="K7" s="22" t="n">
        <x:f>AVERAGEIF(Judge_Scores!$B$2:$B$121,$A7,Judge_Scores!$J$2:$J$121)</x:f>
        <x:v>18.599999999999998</x:v>
      </x:c>
      <x:c r="L7" s="22" t="n">
        <x:f>AVERAGEIF(Judge_Scores!$B$2:$B$121,$A7,Judge_Scores!$K$2:$K$121)</x:f>
        <x:v>111.43333333333334</x:v>
      </x:c>
      <x:c r="M7" s="17" t="n">
        <x:f>1+COUNTIF($L$2:$L$41,"&gt;"&amp;L7)</x:f>
        <x:v>13</x:v>
      </x:c>
      <x:c r="N7" s="17" t="str">
        <x:f>IF(L7&gt;=112,"Elite",IF(L7&gt;=106,"High",IF(L7&gt;=100,"Developing","Needs Review")))</x:f>
        <x:v>High</x:v>
      </x:c>
      <x:c r="O7" s="17" t="str">
        <x:v>Head Neck</x:v>
      </x:c>
      <x:c r="P7" s="17" t="str">
        <x:v>Movement</x:v>
      </x:c>
    </x:row>
    <x:row r="8">
      <x:c r="A8" s="17" t="str">
        <x:v>HA-007</x:v>
      </x:c>
      <x:c r="B8" s="17" t="str">
        <x:v>HA Sultan Golden Star</x:v>
      </x:c>
      <x:c r="C8" s="17" t="str">
        <x:v>Titan AS</x:v>
      </x:c>
      <x:c r="D8" s="17" t="str">
        <x:v>Gelding</x:v>
      </x:c>
      <x:c r="E8" s="17" t="str">
        <x:v>Young Horse</x:v>
      </x:c>
      <x:c r="F8" s="22" t="n">
        <x:f>AVERAGEIF(Judge_Scores!$B$2:$B$121,$A8,Judge_Scores!$E$2:$E$121)</x:f>
        <x:v>16.866666666666664</x:v>
      </x:c>
      <x:c r="G8" s="22" t="n">
        <x:f>AVERAGEIF(Judge_Scores!$B$2:$B$121,$A8,Judge_Scores!$F$2:$F$121)</x:f>
        <x:v>16.066666666666666</x:v>
      </x:c>
      <x:c r="H8" s="22" t="n">
        <x:f>AVERAGEIF(Judge_Scores!$B$2:$B$121,$A8,Judge_Scores!$G$2:$G$121)</x:f>
        <x:v>18.7</x:v>
      </x:c>
      <x:c r="I8" s="22" t="n">
        <x:f>AVERAGEIF(Judge_Scores!$B$2:$B$121,$A8,Judge_Scores!$H$2:$H$121)</x:f>
        <x:v>17.533333333333335</x:v>
      </x:c>
      <x:c r="J8" s="22" t="n">
        <x:f>AVERAGEIF(Judge_Scores!$B$2:$B$121,$A8,Judge_Scores!$I$2:$I$121)</x:f>
        <x:v>17.53333333333333</x:v>
      </x:c>
      <x:c r="K8" s="22" t="n">
        <x:f>AVERAGEIF(Judge_Scores!$B$2:$B$121,$A8,Judge_Scores!$J$2:$J$121)</x:f>
        <x:v>16.766666666666666</x:v>
      </x:c>
      <x:c r="L8" s="22" t="n">
        <x:f>AVERAGEIF(Judge_Scores!$B$2:$B$121,$A8,Judge_Scores!$K$2:$K$121)</x:f>
        <x:v>103.46666666666665</x:v>
      </x:c>
      <x:c r="M8" s="17" t="n">
        <x:f>1+COUNTIF($L$2:$L$41,"&gt;"&amp;L8)</x:f>
        <x:v>39</x:v>
      </x:c>
      <x:c r="N8" s="17" t="str">
        <x:f>IF(L8&gt;=112,"Elite",IF(L8&gt;=106,"High",IF(L8&gt;=100,"Developing","Needs Review")))</x:f>
        <x:v>Developing</x:v>
      </x:c>
      <x:c r="O8" s="17" t="str">
        <x:v>Body Topline</x:v>
      </x:c>
      <x:c r="P8" s="17" t="str">
        <x:v>Head Neck</x:v>
      </x:c>
    </x:row>
    <x:row r="9">
      <x:c r="A9" s="17" t="str">
        <x:v>HA-008</x:v>
      </x:c>
      <x:c r="B9" s="17" t="str">
        <x:v>HA Noor Mirage</x:v>
      </x:c>
      <x:c r="C9" s="17" t="str">
        <x:v>Abha Qatar</x:v>
      </x:c>
      <x:c r="D9" s="17" t="str">
        <x:v>Mare</x:v>
      </x:c>
      <x:c r="E9" s="17" t="str">
        <x:v>Junior</x:v>
      </x:c>
      <x:c r="F9" s="22" t="n">
        <x:f>AVERAGEIF(Judge_Scores!$B$2:$B$121,$A9,Judge_Scores!$E$2:$E$121)</x:f>
        <x:v>18.03333333333333</x:v>
      </x:c>
      <x:c r="G9" s="22" t="n">
        <x:f>AVERAGEIF(Judge_Scores!$B$2:$B$121,$A9,Judge_Scores!$F$2:$F$121)</x:f>
        <x:v>18.666666666666668</x:v>
      </x:c>
      <x:c r="H9" s="22" t="n">
        <x:f>AVERAGEIF(Judge_Scores!$B$2:$B$121,$A9,Judge_Scores!$G$2:$G$121)</x:f>
        <x:v>16.63333333333333</x:v>
      </x:c>
      <x:c r="I9" s="22" t="n">
        <x:f>AVERAGEIF(Judge_Scores!$B$2:$B$121,$A9,Judge_Scores!$H$2:$H$121)</x:f>
        <x:v>16.900000000000002</x:v>
      </x:c>
      <x:c r="J9" s="22" t="n">
        <x:f>AVERAGEIF(Judge_Scores!$B$2:$B$121,$A9,Judge_Scores!$I$2:$I$121)</x:f>
        <x:v>17.466666666666665</x:v>
      </x:c>
      <x:c r="K9" s="22" t="n">
        <x:f>AVERAGEIF(Judge_Scores!$B$2:$B$121,$A9,Judge_Scores!$J$2:$J$121)</x:f>
        <x:v>18.099999999999998</x:v>
      </x:c>
      <x:c r="L9" s="22" t="n">
        <x:f>AVERAGEIF(Judge_Scores!$B$2:$B$121,$A9,Judge_Scores!$K$2:$K$121)</x:f>
        <x:v>105.8</x:v>
      </x:c>
      <x:c r="M9" s="17" t="n">
        <x:f>1+COUNTIF($L$2:$L$41,"&gt;"&amp;L9)</x:f>
        <x:v>36</x:v>
      </x:c>
      <x:c r="N9" s="17" t="str">
        <x:f>IF(L9&gt;=112,"Elite",IF(L9&gt;=106,"High",IF(L9&gt;=100,"Developing","Needs Review")))</x:f>
        <x:v>Developing</x:v>
      </x:c>
      <x:c r="O9" s="17" t="str">
        <x:v>Head Neck</x:v>
      </x:c>
      <x:c r="P9" s="17" t="str">
        <x:v>Body Topline</x:v>
      </x:c>
    </x:row>
    <x:row r="10">
      <x:c r="A10" s="17" t="str">
        <x:v>HA-009</x:v>
      </x:c>
      <x:c r="B10" s="17" t="str">
        <x:v>HA Rayan Dream</x:v>
      </x:c>
      <x:c r="C10" s="17" t="str">
        <x:v>Pogrom</x:v>
      </x:c>
      <x:c r="D10" s="17" t="str">
        <x:v>Colt</x:v>
      </x:c>
      <x:c r="E10" s="17" t="str">
        <x:v>Junior</x:v>
      </x:c>
      <x:c r="F10" s="22" t="n">
        <x:f>AVERAGEIF(Judge_Scores!$B$2:$B$121,$A10,Judge_Scores!$E$2:$E$121)</x:f>
        <x:v>19.2</x:v>
      </x:c>
      <x:c r="G10" s="22" t="n">
        <x:f>AVERAGEIF(Judge_Scores!$B$2:$B$121,$A10,Judge_Scores!$F$2:$F$121)</x:f>
        <x:v>19.233333333333334</x:v>
      </x:c>
      <x:c r="H10" s="22" t="n">
        <x:f>AVERAGEIF(Judge_Scores!$B$2:$B$121,$A10,Judge_Scores!$G$2:$G$121)</x:f>
        <x:v>19.033333333333335</x:v>
      </x:c>
      <x:c r="I10" s="22" t="n">
        <x:f>AVERAGEIF(Judge_Scores!$B$2:$B$121,$A10,Judge_Scores!$H$2:$H$121)</x:f>
        <x:v>18.166666666666668</x:v>
      </x:c>
      <x:c r="J10" s="22" t="n">
        <x:f>AVERAGEIF(Judge_Scores!$B$2:$B$121,$A10,Judge_Scores!$I$2:$I$121)</x:f>
        <x:v>19.933333333333334</x:v>
      </x:c>
      <x:c r="K10" s="22" t="n">
        <x:f>AVERAGEIF(Judge_Scores!$B$2:$B$121,$A10,Judge_Scores!$J$2:$J$121)</x:f>
        <x:v>18.3</x:v>
      </x:c>
      <x:c r="L10" s="22" t="n">
        <x:f>AVERAGEIF(Judge_Scores!$B$2:$B$121,$A10,Judge_Scores!$K$2:$K$121)</x:f>
        <x:v>113.86666666666667</x:v>
      </x:c>
      <x:c r="M10" s="17" t="n">
        <x:f>1+COUNTIF($L$2:$L$41,"&gt;"&amp;L10)</x:f>
        <x:v>3</x:v>
      </x:c>
      <x:c r="N10" s="17" t="str">
        <x:f>IF(L10&gt;=112,"Elite",IF(L10&gt;=106,"High",IF(L10&gt;=100,"Developing","Needs Review")))</x:f>
        <x:v>Elite</x:v>
      </x:c>
      <x:c r="O10" s="17" t="str">
        <x:v>Movement</x:v>
      </x:c>
      <x:c r="P10" s="17" t="str">
        <x:v>Legs</x:v>
      </x:c>
    </x:row>
    <x:row r="11">
      <x:c r="A11" s="17" t="str">
        <x:v>HA-010</x:v>
      </x:c>
      <x:c r="B11" s="17" t="str">
        <x:v>HA Sahara Desert Rose</x:v>
      </x:c>
      <x:c r="C11" s="17" t="str">
        <x:v>Titan AS</x:v>
      </x:c>
      <x:c r="D11" s="17" t="str">
        <x:v>Mare</x:v>
      </x:c>
      <x:c r="E11" s="17" t="str">
        <x:v>Junior</x:v>
      </x:c>
      <x:c r="F11" s="22" t="n">
        <x:f>AVERAGEIF(Judge_Scores!$B$2:$B$121,$A11,Judge_Scores!$E$2:$E$121)</x:f>
        <x:v>17.533333333333335</x:v>
      </x:c>
      <x:c r="G11" s="22" t="n">
        <x:f>AVERAGEIF(Judge_Scores!$B$2:$B$121,$A11,Judge_Scores!$F$2:$F$121)</x:f>
        <x:v>16.7</x:v>
      </x:c>
      <x:c r="H11" s="22" t="n">
        <x:f>AVERAGEIF(Judge_Scores!$B$2:$B$121,$A11,Judge_Scores!$G$2:$G$121)</x:f>
        <x:v>18.2</x:v>
      </x:c>
      <x:c r="I11" s="22" t="n">
        <x:f>AVERAGEIF(Judge_Scores!$B$2:$B$121,$A11,Judge_Scores!$H$2:$H$121)</x:f>
        <x:v>17.366666666666667</x:v>
      </x:c>
      <x:c r="J11" s="22" t="n">
        <x:f>AVERAGEIF(Judge_Scores!$B$2:$B$121,$A11,Judge_Scores!$I$2:$I$121)</x:f>
        <x:v>17.26666666666667</x:v>
      </x:c>
      <x:c r="K11" s="22" t="n">
        <x:f>AVERAGEIF(Judge_Scores!$B$2:$B$121,$A11,Judge_Scores!$J$2:$J$121)</x:f>
        <x:v>17.566666666666666</x:v>
      </x:c>
      <x:c r="L11" s="22" t="n">
        <x:f>AVERAGEIF(Judge_Scores!$B$2:$B$121,$A11,Judge_Scores!$K$2:$K$121)</x:f>
        <x:v>104.63333333333333</x:v>
      </x:c>
      <x:c r="M11" s="17" t="n">
        <x:f>1+COUNTIF($L$2:$L$41,"&gt;"&amp;L11)</x:f>
        <x:v>37</x:v>
      </x:c>
      <x:c r="N11" s="17" t="str">
        <x:f>IF(L11&gt;=112,"Elite",IF(L11&gt;=106,"High",IF(L11&gt;=100,"Developing","Needs Review")))</x:f>
        <x:v>Developing</x:v>
      </x:c>
      <x:c r="O11" s="17" t="str">
        <x:v>Body Topline</x:v>
      </x:c>
      <x:c r="P11" s="17" t="str">
        <x:v>Head Neck</x:v>
      </x:c>
    </x:row>
    <x:row r="12">
      <x:c r="A12" s="17" t="str">
        <x:v>HA-011</x:v>
      </x:c>
      <x:c r="B12" s="17" t="str">
        <x:v>HA Amani Moonlight</x:v>
      </x:c>
      <x:c r="C12" s="17" t="str">
        <x:v>Van Gogh AM</x:v>
      </x:c>
      <x:c r="D12" s="17" t="str">
        <x:v>Stallion</x:v>
      </x:c>
      <x:c r="E12" s="17" t="str">
        <x:v>Mature</x:v>
      </x:c>
      <x:c r="F12" s="22" t="n">
        <x:f>AVERAGEIF(Judge_Scores!$B$2:$B$121,$A12,Judge_Scores!$E$2:$E$121)</x:f>
        <x:v>17.533333333333335</x:v>
      </x:c>
      <x:c r="G12" s="22" t="n">
        <x:f>AVERAGEIF(Judge_Scores!$B$2:$B$121,$A12,Judge_Scores!$F$2:$F$121)</x:f>
        <x:v>18.666666666666668</x:v>
      </x:c>
      <x:c r="H12" s="22" t="n">
        <x:f>AVERAGEIF(Judge_Scores!$B$2:$B$121,$A12,Judge_Scores!$G$2:$G$121)</x:f>
        <x:v>18.366666666666667</x:v>
      </x:c>
      <x:c r="I12" s="22" t="n">
        <x:f>AVERAGEIF(Judge_Scores!$B$2:$B$121,$A12,Judge_Scores!$H$2:$H$121)</x:f>
        <x:v>17.866666666666667</x:v>
      </x:c>
      <x:c r="J12" s="22" t="n">
        <x:f>AVERAGEIF(Judge_Scores!$B$2:$B$121,$A12,Judge_Scores!$I$2:$I$121)</x:f>
        <x:v>18.733333333333334</x:v>
      </x:c>
      <x:c r="K12" s="22" t="n">
        <x:f>AVERAGEIF(Judge_Scores!$B$2:$B$121,$A12,Judge_Scores!$J$2:$J$121)</x:f>
        <x:v>16.966666666666665</x:v>
      </x:c>
      <x:c r="L12" s="22" t="n">
        <x:f>AVERAGEIF(Judge_Scores!$B$2:$B$121,$A12,Judge_Scores!$K$2:$K$121)</x:f>
        <x:v>108.13333333333333</x:v>
      </x:c>
      <x:c r="M12" s="17" t="n">
        <x:f>1+COUNTIF($L$2:$L$41,"&gt;"&amp;L12)</x:f>
        <x:v>29</x:v>
      </x:c>
      <x:c r="N12" s="17" t="str">
        <x:f>IF(L12&gt;=112,"Elite",IF(L12&gt;=106,"High",IF(L12&gt;=100,"Developing","Needs Review")))</x:f>
        <x:v>High</x:v>
      </x:c>
      <x:c r="O12" s="17" t="str">
        <x:v>Movement</x:v>
      </x:c>
      <x:c r="P12" s="17" t="str">
        <x:v>Balance</x:v>
      </x:c>
    </x:row>
    <x:row r="13">
      <x:c r="A13" s="17" t="str">
        <x:v>HA-012</x:v>
      </x:c>
      <x:c r="B13" s="17" t="str">
        <x:v>HA Kareem Amethyst</x:v>
      </x:c>
      <x:c r="C13" s="17" t="str">
        <x:v>Titan AS</x:v>
      </x:c>
      <x:c r="D13" s="17" t="str">
        <x:v>Gelding</x:v>
      </x:c>
      <x:c r="E13" s="17" t="str">
        <x:v>Junior</x:v>
      </x:c>
      <x:c r="F13" s="22" t="n">
        <x:f>AVERAGEIF(Judge_Scores!$B$2:$B$121,$A13,Judge_Scores!$E$2:$E$121)</x:f>
        <x:v>17.733333333333334</x:v>
      </x:c>
      <x:c r="G13" s="22" t="n">
        <x:f>AVERAGEIF(Judge_Scores!$B$2:$B$121,$A13,Judge_Scores!$F$2:$F$121)</x:f>
        <x:v>16.03333333333333</x:v>
      </x:c>
      <x:c r="H13" s="22" t="n">
        <x:f>AVERAGEIF(Judge_Scores!$B$2:$B$121,$A13,Judge_Scores!$G$2:$G$121)</x:f>
        <x:v>18</x:v>
      </x:c>
      <x:c r="I13" s="22" t="n">
        <x:f>AVERAGEIF(Judge_Scores!$B$2:$B$121,$A13,Judge_Scores!$H$2:$H$121)</x:f>
        <x:v>18.3</x:v>
      </x:c>
      <x:c r="J13" s="22" t="n">
        <x:f>AVERAGEIF(Judge_Scores!$B$2:$B$121,$A13,Judge_Scores!$I$2:$I$121)</x:f>
        <x:v>16.133333333333336</x:v>
      </x:c>
      <x:c r="K13" s="22" t="n">
        <x:f>AVERAGEIF(Judge_Scores!$B$2:$B$121,$A13,Judge_Scores!$J$2:$J$121)</x:f>
        <x:v>17.26666666666667</x:v>
      </x:c>
      <x:c r="L13" s="22" t="n">
        <x:f>AVERAGEIF(Judge_Scores!$B$2:$B$121,$A13,Judge_Scores!$K$2:$K$121)</x:f>
        <x:v>103.46666666666665</x:v>
      </x:c>
      <x:c r="M13" s="17" t="n">
        <x:f>1+COUNTIF($L$2:$L$41,"&gt;"&amp;L13)</x:f>
        <x:v>39</x:v>
      </x:c>
      <x:c r="N13" s="17" t="str">
        <x:f>IF(L13&gt;=112,"Elite",IF(L13&gt;=106,"High",IF(L13&gt;=100,"Developing","Needs Review")))</x:f>
        <x:v>Developing</x:v>
      </x:c>
      <x:c r="O13" s="17" t="str">
        <x:v>Legs</x:v>
      </x:c>
      <x:c r="P13" s="17" t="str">
        <x:v>Head Neck</x:v>
      </x:c>
    </x:row>
    <x:row r="14">
      <x:c r="A14" s="17" t="str">
        <x:v>HA-013</x:v>
      </x:c>
      <x:c r="B14" s="17" t="str">
        <x:v>HA Jasmine Sundance</x:v>
      </x:c>
      <x:c r="C14" s="17" t="str">
        <x:v>Van Gogh AM</x:v>
      </x:c>
      <x:c r="D14" s="17" t="str">
        <x:v>Mare</x:v>
      </x:c>
      <x:c r="E14" s="17" t="str">
        <x:v>Junior</x:v>
      </x:c>
      <x:c r="F14" s="22" t="n">
        <x:f>AVERAGEIF(Judge_Scores!$B$2:$B$121,$A14,Judge_Scores!$E$2:$E$121)</x:f>
        <x:v>16.833333333333332</x:v>
      </x:c>
      <x:c r="G14" s="22" t="n">
        <x:f>AVERAGEIF(Judge_Scores!$B$2:$B$121,$A14,Judge_Scores!$F$2:$F$121)</x:f>
        <x:v>18.499999999999996</x:v>
      </x:c>
      <x:c r="H14" s="22" t="n">
        <x:f>AVERAGEIF(Judge_Scores!$B$2:$B$121,$A14,Judge_Scores!$G$2:$G$121)</x:f>
        <x:v>17.766666666666666</x:v>
      </x:c>
      <x:c r="I14" s="22" t="n">
        <x:f>AVERAGEIF(Judge_Scores!$B$2:$B$121,$A14,Judge_Scores!$H$2:$H$121)</x:f>
        <x:v>16.866666666666664</x:v>
      </x:c>
      <x:c r="J14" s="22" t="n">
        <x:f>AVERAGEIF(Judge_Scores!$B$2:$B$121,$A14,Judge_Scores!$I$2:$I$121)</x:f>
        <x:v>18.400000000000002</x:v>
      </x:c>
      <x:c r="K14" s="22" t="n">
        <x:f>AVERAGEIF(Judge_Scores!$B$2:$B$121,$A14,Judge_Scores!$J$2:$J$121)</x:f>
        <x:v>18.46666666666667</x:v>
      </x:c>
      <x:c r="L14" s="22" t="n">
        <x:f>AVERAGEIF(Judge_Scores!$B$2:$B$121,$A14,Judge_Scores!$K$2:$K$121)</x:f>
        <x:v>106.83333333333333</x:v>
      </x:c>
      <x:c r="M14" s="17" t="n">
        <x:f>1+COUNTIF($L$2:$L$41,"&gt;"&amp;L14)</x:f>
        <x:v>34</x:v>
      </x:c>
      <x:c r="N14" s="17" t="str">
        <x:f>IF(L14&gt;=112,"Elite",IF(L14&gt;=106,"High",IF(L14&gt;=100,"Developing","Needs Review")))</x:f>
        <x:v>High</x:v>
      </x:c>
      <x:c r="O14" s="17" t="str">
        <x:v>Head Neck</x:v>
      </x:c>
      <x:c r="P14" s="17" t="str">
        <x:v>Type</x:v>
      </x:c>
    </x:row>
    <x:row r="15">
      <x:c r="A15" s="17" t="str">
        <x:v>HA-014</x:v>
      </x:c>
      <x:c r="B15" s="17" t="str">
        <x:v>HA Samir Moonlight</x:v>
      </x:c>
      <x:c r="C15" s="17" t="str">
        <x:v>Van Gogh AM</x:v>
      </x:c>
      <x:c r="D15" s="17" t="str">
        <x:v>Filly</x:v>
      </x:c>
      <x:c r="E15" s="17" t="str">
        <x:v>Junior</x:v>
      </x:c>
      <x:c r="F15" s="22" t="n">
        <x:f>AVERAGEIF(Judge_Scores!$B$2:$B$121,$A15,Judge_Scores!$E$2:$E$121)</x:f>
        <x:v>19.066666666666666</x:v>
      </x:c>
      <x:c r="G15" s="22" t="n">
        <x:f>AVERAGEIF(Judge_Scores!$B$2:$B$121,$A15,Judge_Scores!$F$2:$F$121)</x:f>
        <x:v>18.400000000000002</x:v>
      </x:c>
      <x:c r="H15" s="22" t="n">
        <x:f>AVERAGEIF(Judge_Scores!$B$2:$B$121,$A15,Judge_Scores!$G$2:$G$121)</x:f>
        <x:v>18.133333333333336</x:v>
      </x:c>
      <x:c r="I15" s="22" t="n">
        <x:f>AVERAGEIF(Judge_Scores!$B$2:$B$121,$A15,Judge_Scores!$H$2:$H$121)</x:f>
        <x:v>17.633333333333336</x:v>
      </x:c>
      <x:c r="J15" s="22" t="n">
        <x:f>AVERAGEIF(Judge_Scores!$B$2:$B$121,$A15,Judge_Scores!$I$2:$I$121)</x:f>
        <x:v>16.366666666666664</x:v>
      </x:c>
      <x:c r="K15" s="22" t="n">
        <x:f>AVERAGEIF(Judge_Scores!$B$2:$B$121,$A15,Judge_Scores!$J$2:$J$121)</x:f>
        <x:v>18.23333333333333</x:v>
      </x:c>
      <x:c r="L15" s="22" t="n">
        <x:f>AVERAGEIF(Judge_Scores!$B$2:$B$121,$A15,Judge_Scores!$K$2:$K$121)</x:f>
        <x:v>107.83333333333333</x:v>
      </x:c>
      <x:c r="M15" s="17" t="n">
        <x:f>1+COUNTIF($L$2:$L$41,"&gt;"&amp;L15)</x:f>
        <x:v>31</x:v>
      </x:c>
      <x:c r="N15" s="17" t="str">
        <x:f>IF(L15&gt;=112,"Elite",IF(L15&gt;=106,"High",IF(L15&gt;=100,"Developing","Needs Review")))</x:f>
        <x:v>High</x:v>
      </x:c>
      <x:c r="O15" s="17" t="str">
        <x:v>Type</x:v>
      </x:c>
      <x:c r="P15" s="17" t="str">
        <x:v>Movement</x:v>
      </x:c>
    </x:row>
    <x:row r="16">
      <x:c r="A16" s="17" t="str">
        <x:v>HA-015</x:v>
      </x:c>
      <x:c r="B16" s="17" t="str">
        <x:v>HA Zara Marquis</x:v>
      </x:c>
      <x:c r="C16" s="17" t="str">
        <x:v>Abha Qatar</x:v>
      </x:c>
      <x:c r="D16" s="17" t="str">
        <x:v>Stallion</x:v>
      </x:c>
      <x:c r="E16" s="17" t="str">
        <x:v>Mature</x:v>
      </x:c>
      <x:c r="F16" s="22" t="n">
        <x:f>AVERAGEIF(Judge_Scores!$B$2:$B$121,$A16,Judge_Scores!$E$2:$E$121)</x:f>
        <x:v>18.6</x:v>
      </x:c>
      <x:c r="G16" s="22" t="n">
        <x:f>AVERAGEIF(Judge_Scores!$B$2:$B$121,$A16,Judge_Scores!$F$2:$F$121)</x:f>
        <x:v>19.23333333333333</x:v>
      </x:c>
      <x:c r="H16" s="22" t="n">
        <x:f>AVERAGEIF(Judge_Scores!$B$2:$B$121,$A16,Judge_Scores!$G$2:$G$121)</x:f>
        <x:v>17.9</x:v>
      </x:c>
      <x:c r="I16" s="22" t="n">
        <x:f>AVERAGEIF(Judge_Scores!$B$2:$B$121,$A16,Judge_Scores!$H$2:$H$121)</x:f>
        <x:v>17.233333333333334</x:v>
      </x:c>
      <x:c r="J16" s="22" t="n">
        <x:f>AVERAGEIF(Judge_Scores!$B$2:$B$121,$A16,Judge_Scores!$I$2:$I$121)</x:f>
        <x:v>18</x:v>
      </x:c>
      <x:c r="K16" s="22" t="n">
        <x:f>AVERAGEIF(Judge_Scores!$B$2:$B$121,$A16,Judge_Scores!$J$2:$J$121)</x:f>
        <x:v>18.133333333333336</x:v>
      </x:c>
      <x:c r="L16" s="22" t="n">
        <x:f>AVERAGEIF(Judge_Scores!$B$2:$B$121,$A16,Judge_Scores!$K$2:$K$121)</x:f>
        <x:v>109.10000000000001</x:v>
      </x:c>
      <x:c r="M16" s="17" t="n">
        <x:f>1+COUNTIF($L$2:$L$41,"&gt;"&amp;L16)</x:f>
        <x:v>27</x:v>
      </x:c>
      <x:c r="N16" s="17" t="str">
        <x:f>IF(L16&gt;=112,"Elite",IF(L16&gt;=106,"High",IF(L16&gt;=100,"Developing","Needs Review")))</x:f>
        <x:v>High</x:v>
      </x:c>
      <x:c r="O16" s="17" t="str">
        <x:v>Head Neck</x:v>
      </x:c>
      <x:c r="P16" s="17" t="str">
        <x:v>Legs</x:v>
      </x:c>
    </x:row>
    <x:row r="17">
      <x:c r="A17" s="17" t="str">
        <x:v>HA-016</x:v>
      </x:c>
      <x:c r="B17" s="17" t="str">
        <x:v>HA Farid Royal Flame</x:v>
      </x:c>
      <x:c r="C17" s="17" t="str">
        <x:v>Cavali by Da Valentio</x:v>
      </x:c>
      <x:c r="D17" s="17" t="str">
        <x:v>Mare</x:v>
      </x:c>
      <x:c r="E17" s="17" t="str">
        <x:v>Mature</x:v>
      </x:c>
      <x:c r="F17" s="22" t="n">
        <x:f>AVERAGEIF(Judge_Scores!$B$2:$B$121,$A17,Judge_Scores!$E$2:$E$121)</x:f>
        <x:v>18.500000000000004</x:v>
      </x:c>
      <x:c r="G17" s="22" t="n">
        <x:f>AVERAGEIF(Judge_Scores!$B$2:$B$121,$A17,Judge_Scores!$F$2:$F$121)</x:f>
        <x:v>19.166666666666668</x:v>
      </x:c>
      <x:c r="H17" s="22" t="n">
        <x:f>AVERAGEIF(Judge_Scores!$B$2:$B$121,$A17,Judge_Scores!$G$2:$G$121)</x:f>
        <x:v>18.533333333333335</x:v>
      </x:c>
      <x:c r="I17" s="22" t="n">
        <x:f>AVERAGEIF(Judge_Scores!$B$2:$B$121,$A17,Judge_Scores!$H$2:$H$121)</x:f>
        <x:v>18.333333333333332</x:v>
      </x:c>
      <x:c r="J17" s="22" t="n">
        <x:f>AVERAGEIF(Judge_Scores!$B$2:$B$121,$A17,Judge_Scores!$I$2:$I$121)</x:f>
        <x:v>19.099999999999998</x:v>
      </x:c>
      <x:c r="K17" s="22" t="n">
        <x:f>AVERAGEIF(Judge_Scores!$B$2:$B$121,$A17,Judge_Scores!$J$2:$J$121)</x:f>
        <x:v>18.400000000000002</x:v>
      </x:c>
      <x:c r="L17" s="22" t="n">
        <x:f>AVERAGEIF(Judge_Scores!$B$2:$B$121,$A17,Judge_Scores!$K$2:$K$121)</x:f>
        <x:v>112.03333333333332</x:v>
      </x:c>
      <x:c r="M17" s="17" t="n">
        <x:f>1+COUNTIF($L$2:$L$41,"&gt;"&amp;L17)</x:f>
        <x:v>11</x:v>
      </x:c>
      <x:c r="N17" s="17" t="str">
        <x:f>IF(L17&gt;=112,"Elite",IF(L17&gt;=106,"High",IF(L17&gt;=100,"Developing","Needs Review")))</x:f>
        <x:v>Elite</x:v>
      </x:c>
      <x:c r="O17" s="17" t="str">
        <x:v>Head Neck</x:v>
      </x:c>
      <x:c r="P17" s="17" t="str">
        <x:v>Legs</x:v>
      </x:c>
    </x:row>
    <x:row r="18">
      <x:c r="A18" s="17" t="str">
        <x:v>HA-017</x:v>
      </x:c>
      <x:c r="B18" s="17" t="str">
        <x:v>HA Noura Al Jannat</x:v>
      </x:c>
      <x:c r="C18" s="17" t="str">
        <x:v>Cavali by Da Valentio</x:v>
      </x:c>
      <x:c r="D18" s="17" t="str">
        <x:v>Colt</x:v>
      </x:c>
      <x:c r="E18" s="17" t="str">
        <x:v>Young Horse</x:v>
      </x:c>
      <x:c r="F18" s="22" t="n">
        <x:f>AVERAGEIF(Judge_Scores!$B$2:$B$121,$A18,Judge_Scores!$E$2:$E$121)</x:f>
        <x:v>19.566666666666666</x:v>
      </x:c>
      <x:c r="G18" s="22" t="n">
        <x:f>AVERAGEIF(Judge_Scores!$B$2:$B$121,$A18,Judge_Scores!$F$2:$F$121)</x:f>
        <x:v>18.266666666666666</x:v>
      </x:c>
      <x:c r="H18" s="22" t="n">
        <x:f>AVERAGEIF(Judge_Scores!$B$2:$B$121,$A18,Judge_Scores!$G$2:$G$121)</x:f>
        <x:v>18.333333333333332</x:v>
      </x:c>
      <x:c r="I18" s="22" t="n">
        <x:f>AVERAGEIF(Judge_Scores!$B$2:$B$121,$A18,Judge_Scores!$H$2:$H$121)</x:f>
        <x:v>19.366666666666667</x:v>
      </x:c>
      <x:c r="J18" s="22" t="n">
        <x:f>AVERAGEIF(Judge_Scores!$B$2:$B$121,$A18,Judge_Scores!$I$2:$I$121)</x:f>
        <x:v>18.433333333333334</x:v>
      </x:c>
      <x:c r="K18" s="22" t="n">
        <x:f>AVERAGEIF(Judge_Scores!$B$2:$B$121,$A18,Judge_Scores!$J$2:$J$121)</x:f>
        <x:v>18.5</x:v>
      </x:c>
      <x:c r="L18" s="22" t="n">
        <x:f>AVERAGEIF(Judge_Scores!$B$2:$B$121,$A18,Judge_Scores!$K$2:$K$121)</x:f>
        <x:v>112.46666666666665</x:v>
      </x:c>
      <x:c r="M18" s="17" t="n">
        <x:f>1+COUNTIF($L$2:$L$41,"&gt;"&amp;L18)</x:f>
        <x:v>8</x:v>
      </x:c>
      <x:c r="N18" s="17" t="str">
        <x:f>IF(L18&gt;=112,"Elite",IF(L18&gt;=106,"High",IF(L18&gt;=100,"Developing","Needs Review")))</x:f>
        <x:v>Elite</x:v>
      </x:c>
      <x:c r="O18" s="17" t="str">
        <x:v>Type</x:v>
      </x:c>
      <x:c r="P18" s="17" t="str">
        <x:v>Head Neck</x:v>
      </x:c>
    </x:row>
    <x:row r="19">
      <x:c r="A19" s="17" t="str">
        <x:v>HA-018</x:v>
      </x:c>
      <x:c r="B19" s="17" t="str">
        <x:v>HA Khalil Valentino</x:v>
      </x:c>
      <x:c r="C19" s="17" t="str">
        <x:v>Titan AS</x:v>
      </x:c>
      <x:c r="D19" s="17" t="str">
        <x:v>Filly</x:v>
      </x:c>
      <x:c r="E19" s="17" t="str">
        <x:v>Junior</x:v>
      </x:c>
      <x:c r="F19" s="22" t="n">
        <x:f>AVERAGEIF(Judge_Scores!$B$2:$B$121,$A19,Judge_Scores!$E$2:$E$121)</x:f>
        <x:v>17.333333333333332</x:v>
      </x:c>
      <x:c r="G19" s="22" t="n">
        <x:f>AVERAGEIF(Judge_Scores!$B$2:$B$121,$A19,Judge_Scores!$F$2:$F$121)</x:f>
        <x:v>16.333333333333332</x:v>
      </x:c>
      <x:c r="H19" s="22" t="n">
        <x:f>AVERAGEIF(Judge_Scores!$B$2:$B$121,$A19,Judge_Scores!$G$2:$G$121)</x:f>
        <x:v>17.933333333333334</x:v>
      </x:c>
      <x:c r="I19" s="22" t="n">
        <x:f>AVERAGEIF(Judge_Scores!$B$2:$B$121,$A19,Judge_Scores!$H$2:$H$121)</x:f>
        <x:v>18</x:v>
      </x:c>
      <x:c r="J19" s="22" t="n">
        <x:f>AVERAGEIF(Judge_Scores!$B$2:$B$121,$A19,Judge_Scores!$I$2:$I$121)</x:f>
        <x:v>16.5</x:v>
      </x:c>
      <x:c r="K19" s="22" t="n">
        <x:f>AVERAGEIF(Judge_Scores!$B$2:$B$121,$A19,Judge_Scores!$J$2:$J$121)</x:f>
        <x:v>18.433333333333334</x:v>
      </x:c>
      <x:c r="L19" s="22" t="n">
        <x:f>AVERAGEIF(Judge_Scores!$B$2:$B$121,$A19,Judge_Scores!$K$2:$K$121)</x:f>
        <x:v>104.53333333333335</x:v>
      </x:c>
      <x:c r="M19" s="17" t="n">
        <x:f>1+COUNTIF($L$2:$L$41,"&gt;"&amp;L19)</x:f>
        <x:v>38</x:v>
      </x:c>
      <x:c r="N19" s="17" t="str">
        <x:f>IF(L19&gt;=112,"Elite",IF(L19&gt;=106,"High",IF(L19&gt;=100,"Developing","Needs Review")))</x:f>
        <x:v>Developing</x:v>
      </x:c>
      <x:c r="O19" s="17" t="str">
        <x:v>Balance</x:v>
      </x:c>
      <x:c r="P19" s="17" t="str">
        <x:v>Head Neck</x:v>
      </x:c>
    </x:row>
    <x:row r="20">
      <x:c r="A20" s="17" t="str">
        <x:v>HA-019</x:v>
      </x:c>
      <x:c r="B20" s="17" t="str">
        <x:v>HA Saffron Golden Star</x:v>
      </x:c>
      <x:c r="C20" s="17" t="str">
        <x:v>Abha Qatar</x:v>
      </x:c>
      <x:c r="D20" s="17" t="str">
        <x:v>Filly</x:v>
      </x:c>
      <x:c r="E20" s="17" t="str">
        <x:v>Mature</x:v>
      </x:c>
      <x:c r="F20" s="22" t="n">
        <x:f>AVERAGEIF(Judge_Scores!$B$2:$B$121,$A20,Judge_Scores!$E$2:$E$121)</x:f>
        <x:v>19.166666666666668</x:v>
      </x:c>
      <x:c r="G20" s="22" t="n">
        <x:f>AVERAGEIF(Judge_Scores!$B$2:$B$121,$A20,Judge_Scores!$F$2:$F$121)</x:f>
        <x:v>18.733333333333334</x:v>
      </x:c>
      <x:c r="H20" s="22" t="n">
        <x:f>AVERAGEIF(Judge_Scores!$B$2:$B$121,$A20,Judge_Scores!$G$2:$G$121)</x:f>
        <x:v>18.066666666666666</x:v>
      </x:c>
      <x:c r="I20" s="22" t="n">
        <x:f>AVERAGEIF(Judge_Scores!$B$2:$B$121,$A20,Judge_Scores!$H$2:$H$121)</x:f>
        <x:v>18.633333333333333</x:v>
      </x:c>
      <x:c r="J20" s="22" t="n">
        <x:f>AVERAGEIF(Judge_Scores!$B$2:$B$121,$A20,Judge_Scores!$I$2:$I$121)</x:f>
        <x:v>18.233333333333334</x:v>
      </x:c>
      <x:c r="K20" s="22" t="n">
        <x:f>AVERAGEIF(Judge_Scores!$B$2:$B$121,$A20,Judge_Scores!$J$2:$J$121)</x:f>
        <x:v>18.266666666666666</x:v>
      </x:c>
      <x:c r="L20" s="22" t="n">
        <x:f>AVERAGEIF(Judge_Scores!$B$2:$B$121,$A20,Judge_Scores!$K$2:$K$121)</x:f>
        <x:v>111.10000000000001</x:v>
      </x:c>
      <x:c r="M20" s="17" t="n">
        <x:f>1+COUNTIF($L$2:$L$41,"&gt;"&amp;L20)</x:f>
        <x:v>15</x:v>
      </x:c>
      <x:c r="N20" s="17" t="str">
        <x:f>IF(L20&gt;=112,"Elite",IF(L20&gt;=106,"High",IF(L20&gt;=100,"Developing","Needs Review")))</x:f>
        <x:v>High</x:v>
      </x:c>
      <x:c r="O20" s="17" t="str">
        <x:v>Type</x:v>
      </x:c>
      <x:c r="P20" s="17" t="str">
        <x:v>Body Topline</x:v>
      </x:c>
    </x:row>
    <x:row r="21">
      <x:c r="A21" s="17" t="str">
        <x:v>HA-020</x:v>
      </x:c>
      <x:c r="B21" s="17" t="str">
        <x:v>HA Aziza Royal Flame</x:v>
      </x:c>
      <x:c r="C21" s="17" t="str">
        <x:v>Van Gogh AM</x:v>
      </x:c>
      <x:c r="D21" s="17" t="str">
        <x:v>Colt</x:v>
      </x:c>
      <x:c r="E21" s="17" t="str">
        <x:v>Junior</x:v>
      </x:c>
      <x:c r="F21" s="22" t="n">
        <x:f>AVERAGEIF(Judge_Scores!$B$2:$B$121,$A21,Judge_Scores!$E$2:$E$121)</x:f>
        <x:v>18.166666666666668</x:v>
      </x:c>
      <x:c r="G21" s="22" t="n">
        <x:f>AVERAGEIF(Judge_Scores!$B$2:$B$121,$A21,Judge_Scores!$F$2:$F$121)</x:f>
        <x:v>18.733333333333334</x:v>
      </x:c>
      <x:c r="H21" s="22" t="n">
        <x:f>AVERAGEIF(Judge_Scores!$B$2:$B$121,$A21,Judge_Scores!$G$2:$G$121)</x:f>
        <x:v>18.166666666666668</x:v>
      </x:c>
      <x:c r="I21" s="22" t="n">
        <x:f>AVERAGEIF(Judge_Scores!$B$2:$B$121,$A21,Judge_Scores!$H$2:$H$121)</x:f>
        <x:v>18.266666666666666</x:v>
      </x:c>
      <x:c r="J21" s="22" t="n">
        <x:f>AVERAGEIF(Judge_Scores!$B$2:$B$121,$A21,Judge_Scores!$I$2:$I$121)</x:f>
        <x:v>18.400000000000002</x:v>
      </x:c>
      <x:c r="K21" s="22" t="n">
        <x:f>AVERAGEIF(Judge_Scores!$B$2:$B$121,$A21,Judge_Scores!$J$2:$J$121)</x:f>
        <x:v>18.233333333333334</x:v>
      </x:c>
      <x:c r="L21" s="22" t="n">
        <x:f>AVERAGEIF(Judge_Scores!$B$2:$B$121,$A21,Judge_Scores!$K$2:$K$121)</x:f>
        <x:v>109.96666666666665</x:v>
      </x:c>
      <x:c r="M21" s="17" t="n">
        <x:f>1+COUNTIF($L$2:$L$41,"&gt;"&amp;L21)</x:f>
        <x:v>25</x:v>
      </x:c>
      <x:c r="N21" s="17" t="str">
        <x:f>IF(L21&gt;=112,"Elite",IF(L21&gt;=106,"High",IF(L21&gt;=100,"Developing","Needs Review")))</x:f>
        <x:v>High</x:v>
      </x:c>
      <x:c r="O21" s="17" t="str">
        <x:v>Head Neck</x:v>
      </x:c>
      <x:c r="P21" s="17" t="str">
        <x:v>Type</x:v>
      </x:c>
    </x:row>
    <x:row r="22">
      <x:c r="A22" s="17" t="str">
        <x:v>HA-021</x:v>
      </x:c>
      <x:c r="B22" s="17" t="str">
        <x:v>HA Majid Al Jannat</x:v>
      </x:c>
      <x:c r="C22" s="17" t="str">
        <x:v>Van Gogh AM</x:v>
      </x:c>
      <x:c r="D22" s="17" t="str">
        <x:v>Filly</x:v>
      </x:c>
      <x:c r="E22" s="17" t="str">
        <x:v>Mature</x:v>
      </x:c>
      <x:c r="F22" s="22" t="n">
        <x:f>AVERAGEIF(Judge_Scores!$B$2:$B$121,$A22,Judge_Scores!$E$2:$E$121)</x:f>
        <x:v>19.333333333333332</x:v>
      </x:c>
      <x:c r="G22" s="22" t="n">
        <x:f>AVERAGEIF(Judge_Scores!$B$2:$B$121,$A22,Judge_Scores!$F$2:$F$121)</x:f>
        <x:v>19.166666666666668</x:v>
      </x:c>
      <x:c r="H22" s="22" t="n">
        <x:f>AVERAGEIF(Judge_Scores!$B$2:$B$121,$A22,Judge_Scores!$G$2:$G$121)</x:f>
        <x:v>18.066666666666666</x:v>
      </x:c>
      <x:c r="I22" s="22" t="n">
        <x:f>AVERAGEIF(Judge_Scores!$B$2:$B$121,$A22,Judge_Scores!$H$2:$H$121)</x:f>
        <x:v>18.233333333333334</x:v>
      </x:c>
      <x:c r="J22" s="22" t="n">
        <x:f>AVERAGEIF(Judge_Scores!$B$2:$B$121,$A22,Judge_Scores!$I$2:$I$121)</x:f>
        <x:v>16.833333333333336</x:v>
      </x:c>
      <x:c r="K22" s="22" t="n">
        <x:f>AVERAGEIF(Judge_Scores!$B$2:$B$121,$A22,Judge_Scores!$J$2:$J$121)</x:f>
        <x:v>19</x:v>
      </x:c>
      <x:c r="L22" s="22" t="n">
        <x:f>AVERAGEIF(Judge_Scores!$B$2:$B$121,$A22,Judge_Scores!$K$2:$K$121)</x:f>
        <x:v>110.63333333333333</x:v>
      </x:c>
      <x:c r="M22" s="17" t="n">
        <x:f>1+COUNTIF($L$2:$L$41,"&gt;"&amp;L22)</x:f>
        <x:v>18</x:v>
      </x:c>
      <x:c r="N22" s="17" t="str">
        <x:f>IF(L22&gt;=112,"Elite",IF(L22&gt;=106,"High",IF(L22&gt;=100,"Developing","Needs Review")))</x:f>
        <x:v>High</x:v>
      </x:c>
      <x:c r="O22" s="17" t="str">
        <x:v>Type</x:v>
      </x:c>
      <x:c r="P22" s="17" t="str">
        <x:v>Movement</x:v>
      </x:c>
    </x:row>
    <x:row r="23">
      <x:c r="A23" s="17" t="str">
        <x:v>HA-022</x:v>
      </x:c>
      <x:c r="B23" s="17" t="str">
        <x:v>HA Dalia Desert Rose</x:v>
      </x:c>
      <x:c r="C23" s="17" t="str">
        <x:v>Titan AS</x:v>
      </x:c>
      <x:c r="D23" s="17" t="str">
        <x:v>Stallion</x:v>
      </x:c>
      <x:c r="E23" s="17" t="str">
        <x:v>Mature</x:v>
      </x:c>
      <x:c r="F23" s="22" t="n">
        <x:f>AVERAGEIF(Judge_Scores!$B$2:$B$121,$A23,Judge_Scores!$E$2:$E$121)</x:f>
        <x:v>17.966666666666665</x:v>
      </x:c>
      <x:c r="G23" s="22" t="n">
        <x:f>AVERAGEIF(Judge_Scores!$B$2:$B$121,$A23,Judge_Scores!$F$2:$F$121)</x:f>
        <x:v>18.166666666666664</x:v>
      </x:c>
      <x:c r="H23" s="22" t="n">
        <x:f>AVERAGEIF(Judge_Scores!$B$2:$B$121,$A23,Judge_Scores!$G$2:$G$121)</x:f>
        <x:v>18.533333333333335</x:v>
      </x:c>
      <x:c r="I23" s="22" t="n">
        <x:f>AVERAGEIF(Judge_Scores!$B$2:$B$121,$A23,Judge_Scores!$H$2:$H$121)</x:f>
        <x:v>17.766666666666666</x:v>
      </x:c>
      <x:c r="J23" s="22" t="n">
        <x:f>AVERAGEIF(Judge_Scores!$B$2:$B$121,$A23,Judge_Scores!$I$2:$I$121)</x:f>
        <x:v>18.366666666666667</x:v>
      </x:c>
      <x:c r="K23" s="22" t="n">
        <x:f>AVERAGEIF(Judge_Scores!$B$2:$B$121,$A23,Judge_Scores!$J$2:$J$121)</x:f>
        <x:v>18.366666666666664</x:v>
      </x:c>
      <x:c r="L23" s="22" t="n">
        <x:f>AVERAGEIF(Judge_Scores!$B$2:$B$121,$A23,Judge_Scores!$K$2:$K$121)</x:f>
        <x:v>109.16666666666667</x:v>
      </x:c>
      <x:c r="M23" s="17" t="n">
        <x:f>1+COUNTIF($L$2:$L$41,"&gt;"&amp;L23)</x:f>
        <x:v>26</x:v>
      </x:c>
      <x:c r="N23" s="17" t="str">
        <x:f>IF(L23&gt;=112,"Elite",IF(L23&gt;=106,"High",IF(L23&gt;=100,"Developing","Needs Review")))</x:f>
        <x:v>High</x:v>
      </x:c>
      <x:c r="O23" s="17" t="str">
        <x:v>Body Topline</x:v>
      </x:c>
      <x:c r="P23" s="17" t="str">
        <x:v>Legs</x:v>
      </x:c>
    </x:row>
    <x:row r="24">
      <x:c r="A24" s="17" t="str">
        <x:v>HA-023</x:v>
      </x:c>
      <x:c r="B24" s="17" t="str">
        <x:v>HA Rashid Golden Star</x:v>
      </x:c>
      <x:c r="C24" s="17" t="str">
        <x:v>Cavali by Da Valentio</x:v>
      </x:c>
      <x:c r="D24" s="17" t="str">
        <x:v>Colt</x:v>
      </x:c>
      <x:c r="E24" s="17" t="str">
        <x:v>Mature</x:v>
      </x:c>
      <x:c r="F24" s="22" t="n">
        <x:f>AVERAGEIF(Judge_Scores!$B$2:$B$121,$A24,Judge_Scores!$E$2:$E$121)</x:f>
        <x:v>18.433333333333334</x:v>
      </x:c>
      <x:c r="G24" s="22" t="n">
        <x:f>AVERAGEIF(Judge_Scores!$B$2:$B$121,$A24,Judge_Scores!$F$2:$F$121)</x:f>
        <x:v>19.566666666666666</x:v>
      </x:c>
      <x:c r="H24" s="22" t="n">
        <x:f>AVERAGEIF(Judge_Scores!$B$2:$B$121,$A24,Judge_Scores!$G$2:$G$121)</x:f>
        <x:v>18.466666666666665</x:v>
      </x:c>
      <x:c r="I24" s="22" t="n">
        <x:f>AVERAGEIF(Judge_Scores!$B$2:$B$121,$A24,Judge_Scores!$H$2:$H$121)</x:f>
        <x:v>18.266666666666666</x:v>
      </x:c>
      <x:c r="J24" s="22" t="n">
        <x:f>AVERAGEIF(Judge_Scores!$B$2:$B$121,$A24,Judge_Scores!$I$2:$I$121)</x:f>
        <x:v>19.366666666666667</x:v>
      </x:c>
      <x:c r="K24" s="22" t="n">
        <x:f>AVERAGEIF(Judge_Scores!$B$2:$B$121,$A24,Judge_Scores!$J$2:$J$121)</x:f>
        <x:v>18.7</x:v>
      </x:c>
      <x:c r="L24" s="22" t="n">
        <x:f>AVERAGEIF(Judge_Scores!$B$2:$B$121,$A24,Judge_Scores!$K$2:$K$121)</x:f>
        <x:v>112.8</x:v>
      </x:c>
      <x:c r="M24" s="17" t="n">
        <x:f>1+COUNTIF($L$2:$L$41,"&gt;"&amp;L24)</x:f>
        <x:v>6</x:v>
      </x:c>
      <x:c r="N24" s="17" t="str">
        <x:f>IF(L24&gt;=112,"Elite",IF(L24&gt;=106,"High",IF(L24&gt;=100,"Developing","Needs Review")))</x:f>
        <x:v>Elite</x:v>
      </x:c>
      <x:c r="O24" s="17" t="str">
        <x:v>Head Neck</x:v>
      </x:c>
      <x:c r="P24" s="17" t="str">
        <x:v>Legs</x:v>
      </x:c>
    </x:row>
    <x:row r="25">
      <x:c r="A25" s="17" t="str">
        <x:v>HA-024</x:v>
      </x:c>
      <x:c r="B25" s="17" t="str">
        <x:v>HA Soraya Amethyst</x:v>
      </x:c>
      <x:c r="C25" s="17" t="str">
        <x:v>Titan AS</x:v>
      </x:c>
      <x:c r="D25" s="17" t="str">
        <x:v>Colt</x:v>
      </x:c>
      <x:c r="E25" s="17" t="str">
        <x:v>Mature</x:v>
      </x:c>
      <x:c r="F25" s="22" t="n">
        <x:f>AVERAGEIF(Judge_Scores!$B$2:$B$121,$A25,Judge_Scores!$E$2:$E$121)</x:f>
        <x:v>18.2</x:v>
      </x:c>
      <x:c r="G25" s="22" t="n">
        <x:f>AVERAGEIF(Judge_Scores!$B$2:$B$121,$A25,Judge_Scores!$F$2:$F$121)</x:f>
        <x:v>18.566666666666666</x:v>
      </x:c>
      <x:c r="H25" s="22" t="n">
        <x:f>AVERAGEIF(Judge_Scores!$B$2:$B$121,$A25,Judge_Scores!$G$2:$G$121)</x:f>
        <x:v>18.033333333333335</x:v>
      </x:c>
      <x:c r="I25" s="22" t="n">
        <x:f>AVERAGEIF(Judge_Scores!$B$2:$B$121,$A25,Judge_Scores!$H$2:$H$121)</x:f>
        <x:v>17.866666666666667</x:v>
      </x:c>
      <x:c r="J25" s="22" t="n">
        <x:f>AVERAGEIF(Judge_Scores!$B$2:$B$121,$A25,Judge_Scores!$I$2:$I$121)</x:f>
        <x:v>18.566666666666666</x:v>
      </x:c>
      <x:c r="K25" s="22" t="n">
        <x:f>AVERAGEIF(Judge_Scores!$B$2:$B$121,$A25,Judge_Scores!$J$2:$J$121)</x:f>
        <x:v>18.933333333333334</x:v>
      </x:c>
      <x:c r="L25" s="22" t="n">
        <x:f>AVERAGEIF(Judge_Scores!$B$2:$B$121,$A25,Judge_Scores!$K$2:$K$121)</x:f>
        <x:v>110.16666666666667</x:v>
      </x:c>
      <x:c r="M25" s="17" t="n">
        <x:f>1+COUNTIF($L$2:$L$41,"&gt;"&amp;L25)</x:f>
        <x:v>23</x:v>
      </x:c>
      <x:c r="N25" s="17" t="str">
        <x:f>IF(L25&gt;=112,"Elite",IF(L25&gt;=106,"High",IF(L25&gt;=100,"Developing","Needs Review")))</x:f>
        <x:v>High</x:v>
      </x:c>
      <x:c r="O25" s="17" t="str">
        <x:v>Balance</x:v>
      </x:c>
      <x:c r="P25" s="17" t="str">
        <x:v>Legs</x:v>
      </x:c>
    </x:row>
    <x:row r="26">
      <x:c r="A26" s="17" t="str">
        <x:v>HA-025</x:v>
      </x:c>
      <x:c r="B26" s="17" t="str">
        <x:v>HA Tariq Legacy</x:v>
      </x:c>
      <x:c r="C26" s="17" t="str">
        <x:v>Van Gogh AM</x:v>
      </x:c>
      <x:c r="D26" s="17" t="str">
        <x:v>Gelding</x:v>
      </x:c>
      <x:c r="E26" s="17" t="str">
        <x:v>Mature</x:v>
      </x:c>
      <x:c r="F26" s="22" t="n">
        <x:f>AVERAGEIF(Judge_Scores!$B$2:$B$121,$A26,Judge_Scores!$E$2:$E$121)</x:f>
        <x:v>17.966666666666665</x:v>
      </x:c>
      <x:c r="G26" s="22" t="n">
        <x:f>AVERAGEIF(Judge_Scores!$B$2:$B$121,$A26,Judge_Scores!$F$2:$F$121)</x:f>
        <x:v>17.933333333333334</x:v>
      </x:c>
      <x:c r="H26" s="22" t="n">
        <x:f>AVERAGEIF(Judge_Scores!$B$2:$B$121,$A26,Judge_Scores!$G$2:$G$121)</x:f>
        <x:v>17.900000000000002</x:v>
      </x:c>
      <x:c r="I26" s="22" t="n">
        <x:f>AVERAGEIF(Judge_Scores!$B$2:$B$121,$A26,Judge_Scores!$H$2:$H$121)</x:f>
        <x:v>18.366666666666664</x:v>
      </x:c>
      <x:c r="J26" s="22" t="n">
        <x:f>AVERAGEIF(Judge_Scores!$B$2:$B$121,$A26,Judge_Scores!$I$2:$I$121)</x:f>
        <x:v>17.599999999999998</x:v>
      </x:c>
      <x:c r="K26" s="22" t="n">
        <x:f>AVERAGEIF(Judge_Scores!$B$2:$B$121,$A26,Judge_Scores!$J$2:$J$121)</x:f>
        <x:v>18.133333333333336</x:v>
      </x:c>
      <x:c r="L26" s="22" t="n">
        <x:f>AVERAGEIF(Judge_Scores!$B$2:$B$121,$A26,Judge_Scores!$K$2:$K$121)</x:f>
        <x:v>107.90000000000002</x:v>
      </x:c>
      <x:c r="M26" s="17" t="n">
        <x:f>1+COUNTIF($L$2:$L$41,"&gt;"&amp;L26)</x:f>
        <x:v>30</x:v>
      </x:c>
      <x:c r="N26" s="17" t="str">
        <x:f>IF(L26&gt;=112,"Elite",IF(L26&gt;=106,"High",IF(L26&gt;=100,"Developing","Needs Review")))</x:f>
        <x:v>High</x:v>
      </x:c>
      <x:c r="O26" s="17" t="str">
        <x:v>Legs</x:v>
      </x:c>
      <x:c r="P26" s="17" t="str">
        <x:v>Movement</x:v>
      </x:c>
    </x:row>
    <x:row r="27">
      <x:c r="A27" s="17" t="str">
        <x:v>HA-026</x:v>
      </x:c>
      <x:c r="B27" s="17" t="str">
        <x:v>HA Luna Amethyst</x:v>
      </x:c>
      <x:c r="C27" s="17" t="str">
        <x:v>Abha Qatar</x:v>
      </x:c>
      <x:c r="D27" s="17" t="str">
        <x:v>Mare</x:v>
      </x:c>
      <x:c r="E27" s="17" t="str">
        <x:v>Mature</x:v>
      </x:c>
      <x:c r="F27" s="22" t="n">
        <x:f>AVERAGEIF(Judge_Scores!$B$2:$B$121,$A27,Judge_Scores!$E$2:$E$121)</x:f>
        <x:v>18.633333333333333</x:v>
      </x:c>
      <x:c r="G27" s="22" t="n">
        <x:f>AVERAGEIF(Judge_Scores!$B$2:$B$121,$A27,Judge_Scores!$F$2:$F$121)</x:f>
        <x:v>18.533333333333335</x:v>
      </x:c>
      <x:c r="H27" s="22" t="n">
        <x:f>AVERAGEIF(Judge_Scores!$B$2:$B$121,$A27,Judge_Scores!$G$2:$G$121)</x:f>
        <x:v>17.066666666666666</x:v>
      </x:c>
      <x:c r="I27" s="22" t="n">
        <x:f>AVERAGEIF(Judge_Scores!$B$2:$B$121,$A27,Judge_Scores!$H$2:$H$121)</x:f>
        <x:v>18.766666666666666</x:v>
      </x:c>
      <x:c r="J27" s="22" t="n">
        <x:f>AVERAGEIF(Judge_Scores!$B$2:$B$121,$A27,Judge_Scores!$I$2:$I$121)</x:f>
        <x:v>18.566666666666666</x:v>
      </x:c>
      <x:c r="K27" s="22" t="n">
        <x:f>AVERAGEIF(Judge_Scores!$B$2:$B$121,$A27,Judge_Scores!$J$2:$J$121)</x:f>
        <x:v>18.833333333333332</x:v>
      </x:c>
      <x:c r="L27" s="22" t="n">
        <x:f>AVERAGEIF(Judge_Scores!$B$2:$B$121,$A27,Judge_Scores!$K$2:$K$121)</x:f>
        <x:v>110.39999999999998</x:v>
      </x:c>
      <x:c r="M27" s="17" t="n">
        <x:f>1+COUNTIF($L$2:$L$41,"&gt;"&amp;L27)</x:f>
        <x:v>21</x:v>
      </x:c>
      <x:c r="N27" s="17" t="str">
        <x:f>IF(L27&gt;=112,"Elite",IF(L27&gt;=106,"High",IF(L27&gt;=100,"Developing","Needs Review")))</x:f>
        <x:v>High</x:v>
      </x:c>
      <x:c r="O27" s="17" t="str">
        <x:v>Balance</x:v>
      </x:c>
      <x:c r="P27" s="17" t="str">
        <x:v>Body Topline</x:v>
      </x:c>
    </x:row>
    <x:row r="28">
      <x:c r="A28" s="17" t="str">
        <x:v>HA-027</x:v>
      </x:c>
      <x:c r="B28" s="17" t="str">
        <x:v>HA Hakim Amethyst</x:v>
      </x:c>
      <x:c r="C28" s="17" t="str">
        <x:v>Cavali by Da Valentio</x:v>
      </x:c>
      <x:c r="D28" s="17" t="str">
        <x:v>Gelding</x:v>
      </x:c>
      <x:c r="E28" s="17" t="str">
        <x:v>Junior</x:v>
      </x:c>
      <x:c r="F28" s="22" t="n">
        <x:f>AVERAGEIF(Judge_Scores!$B$2:$B$121,$A28,Judge_Scores!$E$2:$E$121)</x:f>
        <x:v>18.666666666666668</x:v>
      </x:c>
      <x:c r="G28" s="22" t="n">
        <x:f>AVERAGEIF(Judge_Scores!$B$2:$B$121,$A28,Judge_Scores!$F$2:$F$121)</x:f>
        <x:v>18.633333333333336</x:v>
      </x:c>
      <x:c r="H28" s="22" t="n">
        <x:f>AVERAGEIF(Judge_Scores!$B$2:$B$121,$A28,Judge_Scores!$G$2:$G$121)</x:f>
        <x:v>18.3</x:v>
      </x:c>
      <x:c r="I28" s="22" t="n">
        <x:f>AVERAGEIF(Judge_Scores!$B$2:$B$121,$A28,Judge_Scores!$H$2:$H$121)</x:f>
        <x:v>17.7</x:v>
      </x:c>
      <x:c r="J28" s="22" t="n">
        <x:f>AVERAGEIF(Judge_Scores!$B$2:$B$121,$A28,Judge_Scores!$I$2:$I$121)</x:f>
        <x:v>18.666666666666668</x:v>
      </x:c>
      <x:c r="K28" s="22" t="n">
        <x:f>AVERAGEIF(Judge_Scores!$B$2:$B$121,$A28,Judge_Scores!$J$2:$J$121)</x:f>
        <x:v>18.76666666666667</x:v>
      </x:c>
      <x:c r="L28" s="22" t="n">
        <x:f>AVERAGEIF(Judge_Scores!$B$2:$B$121,$A28,Judge_Scores!$K$2:$K$121)</x:f>
        <x:v>110.73333333333335</x:v>
      </x:c>
      <x:c r="M28" s="17" t="n">
        <x:f>1+COUNTIF($L$2:$L$41,"&gt;"&amp;L28)</x:f>
        <x:v>17</x:v>
      </x:c>
      <x:c r="N28" s="17" t="str">
        <x:f>IF(L28&gt;=112,"Elite",IF(L28&gt;=106,"High",IF(L28&gt;=100,"Developing","Needs Review")))</x:f>
        <x:v>High</x:v>
      </x:c>
      <x:c r="O28" s="17" t="str">
        <x:v>Balance</x:v>
      </x:c>
      <x:c r="P28" s="17" t="str">
        <x:v>Legs</x:v>
      </x:c>
    </x:row>
    <x:row r="29">
      <x:c r="A29" s="17" t="str">
        <x:v>HA-028</x:v>
      </x:c>
      <x:c r="B29" s="17" t="str">
        <x:v>HA Nashira Royal Flame</x:v>
      </x:c>
      <x:c r="C29" s="17" t="str">
        <x:v>Cavali by Da Valentio</x:v>
      </x:c>
      <x:c r="D29" s="17" t="str">
        <x:v>Colt</x:v>
      </x:c>
      <x:c r="E29" s="17" t="str">
        <x:v>Mature</x:v>
      </x:c>
      <x:c r="F29" s="22" t="n">
        <x:f>AVERAGEIF(Judge_Scores!$B$2:$B$121,$A29,Judge_Scores!$E$2:$E$121)</x:f>
        <x:v>19.8</x:v>
      </x:c>
      <x:c r="G29" s="22" t="n">
        <x:f>AVERAGEIF(Judge_Scores!$B$2:$B$121,$A29,Judge_Scores!$F$2:$F$121)</x:f>
        <x:v>18.7</x:v>
      </x:c>
      <x:c r="H29" s="22" t="n">
        <x:f>AVERAGEIF(Judge_Scores!$B$2:$B$121,$A29,Judge_Scores!$G$2:$G$121)</x:f>
        <x:v>17.7</x:v>
      </x:c>
      <x:c r="I29" s="22" t="n">
        <x:f>AVERAGEIF(Judge_Scores!$B$2:$B$121,$A29,Judge_Scores!$H$2:$H$121)</x:f>
        <x:v>17.866666666666664</x:v>
      </x:c>
      <x:c r="J29" s="22" t="n">
        <x:f>AVERAGEIF(Judge_Scores!$B$2:$B$121,$A29,Judge_Scores!$I$2:$I$121)</x:f>
        <x:v>18.933333333333334</x:v>
      </x:c>
      <x:c r="K29" s="22" t="n">
        <x:f>AVERAGEIF(Judge_Scores!$B$2:$B$121,$A29,Judge_Scores!$J$2:$J$121)</x:f>
        <x:v>19.133333333333333</x:v>
      </x:c>
      <x:c r="L29" s="22" t="n">
        <x:f>AVERAGEIF(Judge_Scores!$B$2:$B$121,$A29,Judge_Scores!$K$2:$K$121)</x:f>
        <x:v>112.13333333333333</x:v>
      </x:c>
      <x:c r="M29" s="17" t="n">
        <x:f>1+COUNTIF($L$2:$L$41,"&gt;"&amp;L29)</x:f>
        <x:v>9</x:v>
      </x:c>
      <x:c r="N29" s="17" t="str">
        <x:f>IF(L29&gt;=112,"Elite",IF(L29&gt;=106,"High",IF(L29&gt;=100,"Developing","Needs Review")))</x:f>
        <x:v>Elite</x:v>
      </x:c>
      <x:c r="O29" s="17" t="str">
        <x:v>Type</x:v>
      </x:c>
      <x:c r="P29" s="17" t="str">
        <x:v>Body Topline</x:v>
      </x:c>
    </x:row>
    <x:row r="30">
      <x:c r="A30" s="17" t="str">
        <x:v>HA-029</x:v>
      </x:c>
      <x:c r="B30" s="17" t="str">
        <x:v>HA Rahma Al Jannat</x:v>
      </x:c>
      <x:c r="C30" s="17" t="str">
        <x:v>Pogrom</x:v>
      </x:c>
      <x:c r="D30" s="17" t="str">
        <x:v>Gelding</x:v>
      </x:c>
      <x:c r="E30" s="17" t="str">
        <x:v>Mature</x:v>
      </x:c>
      <x:c r="F30" s="22" t="n">
        <x:f>AVERAGEIF(Judge_Scores!$B$2:$B$121,$A30,Judge_Scores!$E$2:$E$121)</x:f>
        <x:v>18.566666666666666</x:v>
      </x:c>
      <x:c r="G30" s="22" t="n">
        <x:f>AVERAGEIF(Judge_Scores!$B$2:$B$121,$A30,Judge_Scores!$F$2:$F$121)</x:f>
        <x:v>17.966666666666665</x:v>
      </x:c>
      <x:c r="H30" s="22" t="n">
        <x:f>AVERAGEIF(Judge_Scores!$B$2:$B$121,$A30,Judge_Scores!$G$2:$G$121)</x:f>
        <x:v>19.400000000000002</x:v>
      </x:c>
      <x:c r="I30" s="22" t="n">
        <x:f>AVERAGEIF(Judge_Scores!$B$2:$B$121,$A30,Judge_Scores!$H$2:$H$121)</x:f>
        <x:v>18.46666666666667</x:v>
      </x:c>
      <x:c r="J30" s="22" t="n">
        <x:f>AVERAGEIF(Judge_Scores!$B$2:$B$121,$A30,Judge_Scores!$I$2:$I$121)</x:f>
        <x:v>19.7</x:v>
      </x:c>
      <x:c r="K30" s="22" t="n">
        <x:f>AVERAGEIF(Judge_Scores!$B$2:$B$121,$A30,Judge_Scores!$J$2:$J$121)</x:f>
        <x:v>18.833333333333332</x:v>
      </x:c>
      <x:c r="L30" s="22" t="n">
        <x:f>AVERAGEIF(Judge_Scores!$B$2:$B$121,$A30,Judge_Scores!$K$2:$K$121)</x:f>
        <x:v>112.93333333333332</x:v>
      </x:c>
      <x:c r="M30" s="17" t="n">
        <x:f>1+COUNTIF($L$2:$L$41,"&gt;"&amp;L30)</x:f>
        <x:v>5</x:v>
      </x:c>
      <x:c r="N30" s="17" t="str">
        <x:f>IF(L30&gt;=112,"Elite",IF(L30&gt;=106,"High",IF(L30&gt;=100,"Developing","Needs Review")))</x:f>
        <x:v>Elite</x:v>
      </x:c>
      <x:c r="O30" s="17" t="str">
        <x:v>Movement</x:v>
      </x:c>
      <x:c r="P30" s="17" t="str">
        <x:v>Head Neck</x:v>
      </x:c>
    </x:row>
    <x:row r="31">
      <x:c r="A31" s="17" t="str">
        <x:v>HA-030</x:v>
      </x:c>
      <x:c r="B31" s="17" t="str">
        <x:v>HA Zayd Royal Flame</x:v>
      </x:c>
      <x:c r="C31" s="17" t="str">
        <x:v>Pogrom</x:v>
      </x:c>
      <x:c r="D31" s="17" t="str">
        <x:v>Filly</x:v>
      </x:c>
      <x:c r="E31" s="17" t="str">
        <x:v>Junior</x:v>
      </x:c>
      <x:c r="F31" s="22" t="n">
        <x:f>AVERAGEIF(Judge_Scores!$B$2:$B$121,$A31,Judge_Scores!$E$2:$E$121)</x:f>
        <x:v>17.366666666666667</x:v>
      </x:c>
      <x:c r="G31" s="22" t="n">
        <x:f>AVERAGEIF(Judge_Scores!$B$2:$B$121,$A31,Judge_Scores!$F$2:$F$121)</x:f>
        <x:v>17.666666666666668</x:v>
      </x:c>
      <x:c r="H31" s="22" t="n">
        <x:f>AVERAGEIF(Judge_Scores!$B$2:$B$121,$A31,Judge_Scores!$G$2:$G$121)</x:f>
        <x:v>19.2</x:v>
      </x:c>
      <x:c r="I31" s="22" t="n">
        <x:f>AVERAGEIF(Judge_Scores!$B$2:$B$121,$A31,Judge_Scores!$H$2:$H$121)</x:f>
        <x:v>18.3</x:v>
      </x:c>
      <x:c r="J31" s="22" t="n">
        <x:f>AVERAGEIF(Judge_Scores!$B$2:$B$121,$A31,Judge_Scores!$I$2:$I$121)</x:f>
        <x:v>19.53333333333333</x:v>
      </x:c>
      <x:c r="K31" s="22" t="n">
        <x:f>AVERAGEIF(Judge_Scores!$B$2:$B$121,$A31,Judge_Scores!$J$2:$J$121)</x:f>
        <x:v>18.366666666666664</x:v>
      </x:c>
      <x:c r="L31" s="22" t="n">
        <x:f>AVERAGEIF(Judge_Scores!$B$2:$B$121,$A31,Judge_Scores!$K$2:$K$121)</x:f>
        <x:v>110.43333333333334</x:v>
      </x:c>
      <x:c r="M31" s="17" t="n">
        <x:f>1+COUNTIF($L$2:$L$41,"&gt;"&amp;L31)</x:f>
        <x:v>20</x:v>
      </x:c>
      <x:c r="N31" s="17" t="str">
        <x:f>IF(L31&gt;=112,"Elite",IF(L31&gt;=106,"High",IF(L31&gt;=100,"Developing","Needs Review")))</x:f>
        <x:v>High</x:v>
      </x:c>
      <x:c r="O31" s="17" t="str">
        <x:v>Movement</x:v>
      </x:c>
      <x:c r="P31" s="17" t="str">
        <x:v>Type</x:v>
      </x:c>
    </x:row>
    <x:row r="32">
      <x:c r="A32" s="17" t="str">
        <x:v>HA-031</x:v>
      </x:c>
      <x:c r="B32" s="17" t="str">
        <x:v>HA Mira Valentino</x:v>
      </x:c>
      <x:c r="C32" s="17" t="str">
        <x:v>Cavali by Da Valentio</x:v>
      </x:c>
      <x:c r="D32" s="17" t="str">
        <x:v>Colt</x:v>
      </x:c>
      <x:c r="E32" s="17" t="str">
        <x:v>Mature</x:v>
      </x:c>
      <x:c r="F32" s="22" t="n">
        <x:f>AVERAGEIF(Judge_Scores!$B$2:$B$121,$A32,Judge_Scores!$E$2:$E$121)</x:f>
        <x:v>19.433333333333334</x:v>
      </x:c>
      <x:c r="G32" s="22" t="n">
        <x:f>AVERAGEIF(Judge_Scores!$B$2:$B$121,$A32,Judge_Scores!$F$2:$F$121)</x:f>
        <x:v>19.099999999999998</x:v>
      </x:c>
      <x:c r="H32" s="22" t="n">
        <x:f>AVERAGEIF(Judge_Scores!$B$2:$B$121,$A32,Judge_Scores!$G$2:$G$121)</x:f>
        <x:v>18.833333333333332</x:v>
      </x:c>
      <x:c r="I32" s="22" t="n">
        <x:f>AVERAGEIF(Judge_Scores!$B$2:$B$121,$A32,Judge_Scores!$H$2:$H$121)</x:f>
        <x:v>18.9</x:v>
      </x:c>
      <x:c r="J32" s="22" t="n">
        <x:f>AVERAGEIF(Judge_Scores!$B$2:$B$121,$A32,Judge_Scores!$I$2:$I$121)</x:f>
        <x:v>17.966666666666665</x:v>
      </x:c>
      <x:c r="K32" s="22" t="n">
        <x:f>AVERAGEIF(Judge_Scores!$B$2:$B$121,$A32,Judge_Scores!$J$2:$J$121)</x:f>
        <x:v>18.5</x:v>
      </x:c>
      <x:c r="L32" s="22" t="n">
        <x:f>AVERAGEIF(Judge_Scores!$B$2:$B$121,$A32,Judge_Scores!$K$2:$K$121)</x:f>
        <x:v>112.73333333333333</x:v>
      </x:c>
      <x:c r="M32" s="17" t="n">
        <x:f>1+COUNTIF($L$2:$L$41,"&gt;"&amp;L32)</x:f>
        <x:v>7</x:v>
      </x:c>
      <x:c r="N32" s="17" t="str">
        <x:f>IF(L32&gt;=112,"Elite",IF(L32&gt;=106,"High",IF(L32&gt;=100,"Developing","Needs Review")))</x:f>
        <x:v>Elite</x:v>
      </x:c>
      <x:c r="O32" s="17" t="str">
        <x:v>Type</x:v>
      </x:c>
      <x:c r="P32" s="17" t="str">
        <x:v>Movement</x:v>
      </x:c>
    </x:row>
    <x:row r="33">
      <x:c r="A33" s="17" t="str">
        <x:v>HA-032</x:v>
      </x:c>
      <x:c r="B33" s="17" t="str">
        <x:v>HA Kamal Al Jannat</x:v>
      </x:c>
      <x:c r="C33" s="17" t="str">
        <x:v>Titan AS</x:v>
      </x:c>
      <x:c r="D33" s="17" t="str">
        <x:v>Mare</x:v>
      </x:c>
      <x:c r="E33" s="17" t="str">
        <x:v>Mature</x:v>
      </x:c>
      <x:c r="F33" s="22" t="n">
        <x:f>AVERAGEIF(Judge_Scores!$B$2:$B$121,$A33,Judge_Scores!$E$2:$E$121)</x:f>
        <x:v>16.96666666666667</x:v>
      </x:c>
      <x:c r="G33" s="22" t="n">
        <x:f>AVERAGEIF(Judge_Scores!$B$2:$B$121,$A33,Judge_Scores!$F$2:$F$121)</x:f>
        <x:v>18.26666666666667</x:v>
      </x:c>
      <x:c r="H33" s="22" t="n">
        <x:f>AVERAGEIF(Judge_Scores!$B$2:$B$121,$A33,Judge_Scores!$G$2:$G$121)</x:f>
        <x:v>18.666666666666668</x:v>
      </x:c>
      <x:c r="I33" s="22" t="n">
        <x:f>AVERAGEIF(Judge_Scores!$B$2:$B$121,$A33,Judge_Scores!$H$2:$H$121)</x:f>
        <x:v>18.133333333333333</x:v>
      </x:c>
      <x:c r="J33" s="22" t="n">
        <x:f>AVERAGEIF(Judge_Scores!$B$2:$B$121,$A33,Judge_Scores!$I$2:$I$121)</x:f>
        <x:v>17.366666666666667</x:v>
      </x:c>
      <x:c r="K33" s="22" t="n">
        <x:f>AVERAGEIF(Judge_Scores!$B$2:$B$121,$A33,Judge_Scores!$J$2:$J$121)</x:f>
        <x:v>17.9</x:v>
      </x:c>
      <x:c r="L33" s="22" t="n">
        <x:f>AVERAGEIF(Judge_Scores!$B$2:$B$121,$A33,Judge_Scores!$K$2:$K$121)</x:f>
        <x:v>107.30000000000001</x:v>
      </x:c>
      <x:c r="M33" s="17" t="n">
        <x:f>1+COUNTIF($L$2:$L$41,"&gt;"&amp;L33)</x:f>
        <x:v>33</x:v>
      </x:c>
      <x:c r="N33" s="17" t="str">
        <x:f>IF(L33&gt;=112,"Elite",IF(L33&gt;=106,"High",IF(L33&gt;=100,"Developing","Needs Review")))</x:f>
        <x:v>High</x:v>
      </x:c>
      <x:c r="O33" s="17" t="str">
        <x:v>Body Topline</x:v>
      </x:c>
      <x:c r="P33" s="17" t="str">
        <x:v>Type</x:v>
      </x:c>
    </x:row>
    <x:row r="34">
      <x:c r="A34" s="17" t="str">
        <x:v>HA-033</x:v>
      </x:c>
      <x:c r="B34" s="17" t="str">
        <x:v>HA Asha Pearl</x:v>
      </x:c>
      <x:c r="C34" s="17" t="str">
        <x:v>Pogrom</x:v>
      </x:c>
      <x:c r="D34" s="17" t="str">
        <x:v>Stallion</x:v>
      </x:c>
      <x:c r="E34" s="17" t="str">
        <x:v>Junior</x:v>
      </x:c>
      <x:c r="F34" s="22" t="n">
        <x:f>AVERAGEIF(Judge_Scores!$B$2:$B$121,$A34,Judge_Scores!$E$2:$E$121)</x:f>
        <x:v>19.1</x:v>
      </x:c>
      <x:c r="G34" s="22" t="n">
        <x:f>AVERAGEIF(Judge_Scores!$B$2:$B$121,$A34,Judge_Scores!$F$2:$F$121)</x:f>
        <x:v>17.166666666666668</x:v>
      </x:c>
      <x:c r="H34" s="22" t="n">
        <x:f>AVERAGEIF(Judge_Scores!$B$2:$B$121,$A34,Judge_Scores!$G$2:$G$121)</x:f>
        <x:v>19.333333333333332</x:v>
      </x:c>
      <x:c r="I34" s="22" t="n">
        <x:f>AVERAGEIF(Judge_Scores!$B$2:$B$121,$A34,Judge_Scores!$H$2:$H$121)</x:f>
        <x:v>19</x:v>
      </x:c>
      <x:c r="J34" s="22" t="n">
        <x:f>AVERAGEIF(Judge_Scores!$B$2:$B$121,$A34,Judge_Scores!$I$2:$I$121)</x:f>
        <x:v>18.7</x:v>
      </x:c>
      <x:c r="K34" s="22" t="n">
        <x:f>AVERAGEIF(Judge_Scores!$B$2:$B$121,$A34,Judge_Scores!$J$2:$J$121)</x:f>
        <x:v>18.433333333333334</x:v>
      </x:c>
      <x:c r="L34" s="22" t="n">
        <x:f>AVERAGEIF(Judge_Scores!$B$2:$B$121,$A34,Judge_Scores!$K$2:$K$121)</x:f>
        <x:v>111.73333333333333</x:v>
      </x:c>
      <x:c r="M34" s="17" t="n">
        <x:f>1+COUNTIF($L$2:$L$41,"&gt;"&amp;L34)</x:f>
        <x:v>12</x:v>
      </x:c>
      <x:c r="N34" s="17" t="str">
        <x:f>IF(L34&gt;=112,"Elite",IF(L34&gt;=106,"High",IF(L34&gt;=100,"Developing","Needs Review")))</x:f>
        <x:v>High</x:v>
      </x:c>
      <x:c r="O34" s="17" t="str">
        <x:v>Body Topline</x:v>
      </x:c>
      <x:c r="P34" s="17" t="str">
        <x:v>Head Neck</x:v>
      </x:c>
    </x:row>
    <x:row r="35">
      <x:c r="A35" s="17" t="str">
        <x:v>HA-034</x:v>
      </x:c>
      <x:c r="B35" s="17" t="str">
        <x:v>HA Rami Royal Flame</x:v>
      </x:c>
      <x:c r="C35" s="17" t="str">
        <x:v>Pogrom</x:v>
      </x:c>
      <x:c r="D35" s="17" t="str">
        <x:v>Stallion</x:v>
      </x:c>
      <x:c r="E35" s="17" t="str">
        <x:v>Mature</x:v>
      </x:c>
      <x:c r="F35" s="22" t="n">
        <x:f>AVERAGEIF(Judge_Scores!$B$2:$B$121,$A35,Judge_Scores!$E$2:$E$121)</x:f>
        <x:v>19.7</x:v>
      </x:c>
      <x:c r="G35" s="22" t="n">
        <x:f>AVERAGEIF(Judge_Scores!$B$2:$B$121,$A35,Judge_Scores!$F$2:$F$121)</x:f>
        <x:v>19.333333333333332</x:v>
      </x:c>
      <x:c r="H35" s="22" t="n">
        <x:f>AVERAGEIF(Judge_Scores!$B$2:$B$121,$A35,Judge_Scores!$G$2:$G$121)</x:f>
        <x:v>18.666666666666668</x:v>
      </x:c>
      <x:c r="I35" s="22" t="n">
        <x:f>AVERAGEIF(Judge_Scores!$B$2:$B$121,$A35,Judge_Scores!$H$2:$H$121)</x:f>
        <x:v>18.03333333333333</x:v>
      </x:c>
      <x:c r="J35" s="22" t="n">
        <x:f>AVERAGEIF(Judge_Scores!$B$2:$B$121,$A35,Judge_Scores!$I$2:$I$121)</x:f>
        <x:v>19.7</x:v>
      </x:c>
      <x:c r="K35" s="22" t="n">
        <x:f>AVERAGEIF(Judge_Scores!$B$2:$B$121,$A35,Judge_Scores!$J$2:$J$121)</x:f>
        <x:v>18.900000000000002</x:v>
      </x:c>
      <x:c r="L35" s="22" t="n">
        <x:f>AVERAGEIF(Judge_Scores!$B$2:$B$121,$A35,Judge_Scores!$K$2:$K$121)</x:f>
        <x:v>114.33333333333333</x:v>
      </x:c>
      <x:c r="M35" s="17" t="n">
        <x:f>1+COUNTIF($L$2:$L$41,"&gt;"&amp;L35)</x:f>
        <x:v>1</x:v>
      </x:c>
      <x:c r="N35" s="17" t="str">
        <x:f>IF(L35&gt;=112,"Elite",IF(L35&gt;=106,"High",IF(L35&gt;=100,"Developing","Needs Review")))</x:f>
        <x:v>Elite</x:v>
      </x:c>
      <x:c r="O35" s="17" t="str">
        <x:v>Type</x:v>
      </x:c>
      <x:c r="P35" s="17" t="str">
        <x:v>Legs</x:v>
      </x:c>
    </x:row>
    <x:row r="36">
      <x:c r="A36" s="17" t="str">
        <x:v>HA-035</x:v>
      </x:c>
      <x:c r="B36" s="17" t="str">
        <x:v>HA Yara Dream</x:v>
      </x:c>
      <x:c r="C36" s="17" t="str">
        <x:v>Pogrom</x:v>
      </x:c>
      <x:c r="D36" s="17" t="str">
        <x:v>Stallion</x:v>
      </x:c>
      <x:c r="E36" s="17" t="str">
        <x:v>Mature</x:v>
      </x:c>
      <x:c r="F36" s="22" t="n">
        <x:f>AVERAGEIF(Judge_Scores!$B$2:$B$121,$A36,Judge_Scores!$E$2:$E$121)</x:f>
        <x:v>19.099999999999998</x:v>
      </x:c>
      <x:c r="G36" s="22" t="n">
        <x:f>AVERAGEIF(Judge_Scores!$B$2:$B$121,$A36,Judge_Scores!$F$2:$F$121)</x:f>
        <x:v>18.599999999999998</x:v>
      </x:c>
      <x:c r="H36" s="22" t="n">
        <x:f>AVERAGEIF(Judge_Scores!$B$2:$B$121,$A36,Judge_Scores!$G$2:$G$121)</x:f>
        <x:v>18.633333333333336</x:v>
      </x:c>
      <x:c r="I36" s="22" t="n">
        <x:f>AVERAGEIF(Judge_Scores!$B$2:$B$121,$A36,Judge_Scores!$H$2:$H$121)</x:f>
        <x:v>18.166666666666668</x:v>
      </x:c>
      <x:c r="J36" s="22" t="n">
        <x:f>AVERAGEIF(Judge_Scores!$B$2:$B$121,$A36,Judge_Scores!$I$2:$I$121)</x:f>
        <x:v>18.733333333333334</x:v>
      </x:c>
      <x:c r="K36" s="22" t="n">
        <x:f>AVERAGEIF(Judge_Scores!$B$2:$B$121,$A36,Judge_Scores!$J$2:$J$121)</x:f>
        <x:v>18.166666666666668</x:v>
      </x:c>
      <x:c r="L36" s="22" t="n">
        <x:f>AVERAGEIF(Judge_Scores!$B$2:$B$121,$A36,Judge_Scores!$K$2:$K$121)</x:f>
        <x:v>111.39999999999999</x:v>
      </x:c>
      <x:c r="M36" s="17" t="n">
        <x:f>1+COUNTIF($L$2:$L$41,"&gt;"&amp;L36)</x:f>
        <x:v>14</x:v>
      </x:c>
      <x:c r="N36" s="17" t="str">
        <x:f>IF(L36&gt;=112,"Elite",IF(L36&gt;=106,"High",IF(L36&gt;=100,"Developing","Needs Review")))</x:f>
        <x:v>High</x:v>
      </x:c>
      <x:c r="O36" s="17" t="str">
        <x:v>Type</x:v>
      </x:c>
      <x:c r="P36" s="17" t="str">
        <x:v>Legs</x:v>
      </x:c>
    </x:row>
    <x:row r="37">
      <x:c r="A37" s="17" t="str">
        <x:v>HA-036</x:v>
      </x:c>
      <x:c r="B37" s="17" t="str">
        <x:v>HA Omar Golden Star</x:v>
      </x:c>
      <x:c r="C37" s="17" t="str">
        <x:v>Abha Qatar</x:v>
      </x:c>
      <x:c r="D37" s="17" t="str">
        <x:v>Filly</x:v>
      </x:c>
      <x:c r="E37" s="17" t="str">
        <x:v>Young Horse</x:v>
      </x:c>
      <x:c r="F37" s="22" t="n">
        <x:f>AVERAGEIF(Judge_Scores!$B$2:$B$121,$A37,Judge_Scores!$E$2:$E$121)</x:f>
        <x:v>18.900000000000002</x:v>
      </x:c>
      <x:c r="G37" s="22" t="n">
        <x:f>AVERAGEIF(Judge_Scores!$B$2:$B$121,$A37,Judge_Scores!$F$2:$F$121)</x:f>
        <x:v>17.7</x:v>
      </x:c>
      <x:c r="H37" s="22" t="n">
        <x:f>AVERAGEIF(Judge_Scores!$B$2:$B$121,$A37,Judge_Scores!$G$2:$G$121)</x:f>
        <x:v>17.5</x:v>
      </x:c>
      <x:c r="I37" s="22" t="n">
        <x:f>AVERAGEIF(Judge_Scores!$B$2:$B$121,$A37,Judge_Scores!$H$2:$H$121)</x:f>
        <x:v>17.999999999999996</x:v>
      </x:c>
      <x:c r="J37" s="22" t="n">
        <x:f>AVERAGEIF(Judge_Scores!$B$2:$B$121,$A37,Judge_Scores!$I$2:$I$121)</x:f>
        <x:v>19</x:v>
      </x:c>
      <x:c r="K37" s="22" t="n">
        <x:f>AVERAGEIF(Judge_Scores!$B$2:$B$121,$A37,Judge_Scores!$J$2:$J$121)</x:f>
        <x:v>19.7</x:v>
      </x:c>
      <x:c r="L37" s="22" t="n">
        <x:f>AVERAGEIF(Judge_Scores!$B$2:$B$121,$A37,Judge_Scores!$K$2:$K$121)</x:f>
        <x:v>110.8</x:v>
      </x:c>
      <x:c r="M37" s="17" t="n">
        <x:f>1+COUNTIF($L$2:$L$41,"&gt;"&amp;L37)</x:f>
        <x:v>16</x:v>
      </x:c>
      <x:c r="N37" s="17" t="str">
        <x:f>IF(L37&gt;=112,"Elite",IF(L37&gt;=106,"High",IF(L37&gt;=100,"Developing","Needs Review")))</x:f>
        <x:v>High</x:v>
      </x:c>
      <x:c r="O37" s="17" t="str">
        <x:v>Balance</x:v>
      </x:c>
      <x:c r="P37" s="17" t="str">
        <x:v>Body Topline</x:v>
      </x:c>
    </x:row>
    <x:row r="38">
      <x:c r="A38" s="17" t="str">
        <x:v>HA-037</x:v>
      </x:c>
      <x:c r="B38" s="17" t="str">
        <x:v>HA Selena El Noor</x:v>
      </x:c>
      <x:c r="C38" s="17" t="str">
        <x:v>Abha Qatar</x:v>
      </x:c>
      <x:c r="D38" s="17" t="str">
        <x:v>Colt</x:v>
      </x:c>
      <x:c r="E38" s="17" t="str">
        <x:v>Young Horse</x:v>
      </x:c>
      <x:c r="F38" s="22" t="n">
        <x:f>AVERAGEIF(Judge_Scores!$B$2:$B$121,$A38,Judge_Scores!$E$2:$E$121)</x:f>
        <x:v>17.266666666666666</x:v>
      </x:c>
      <x:c r="G38" s="22" t="n">
        <x:f>AVERAGEIF(Judge_Scores!$B$2:$B$121,$A38,Judge_Scores!$F$2:$F$121)</x:f>
        <x:v>18.5</x:v>
      </x:c>
      <x:c r="H38" s="22" t="n">
        <x:f>AVERAGEIF(Judge_Scores!$B$2:$B$121,$A38,Judge_Scores!$G$2:$G$121)</x:f>
        <x:v>17.666666666666668</x:v>
      </x:c>
      <x:c r="I38" s="22" t="n">
        <x:f>AVERAGEIF(Judge_Scores!$B$2:$B$121,$A38,Judge_Scores!$H$2:$H$121)</x:f>
        <x:v>18.633333333333336</x:v>
      </x:c>
      <x:c r="J38" s="22" t="n">
        <x:f>AVERAGEIF(Judge_Scores!$B$2:$B$121,$A38,Judge_Scores!$I$2:$I$121)</x:f>
        <x:v>17.433333333333334</x:v>
      </x:c>
      <x:c r="K38" s="22" t="n">
        <x:f>AVERAGEIF(Judge_Scores!$B$2:$B$121,$A38,Judge_Scores!$J$2:$J$121)</x:f>
        <x:v>17.066666666666666</x:v>
      </x:c>
      <x:c r="L38" s="22" t="n">
        <x:f>AVERAGEIF(Judge_Scores!$B$2:$B$121,$A38,Judge_Scores!$K$2:$K$121)</x:f>
        <x:v>106.56666666666666</x:v>
      </x:c>
      <x:c r="M38" s="17" t="n">
        <x:f>1+COUNTIF($L$2:$L$41,"&gt;"&amp;L38)</x:f>
        <x:v>35</x:v>
      </x:c>
      <x:c r="N38" s="17" t="str">
        <x:f>IF(L38&gt;=112,"Elite",IF(L38&gt;=106,"High",IF(L38&gt;=100,"Developing","Needs Review")))</x:f>
        <x:v>High</x:v>
      </x:c>
      <x:c r="O38" s="17" t="str">
        <x:v>Legs</x:v>
      </x:c>
      <x:c r="P38" s="17" t="str">
        <x:v>Balance</x:v>
      </x:c>
    </x:row>
    <x:row r="39">
      <x:c r="A39" s="17" t="str">
        <x:v>HA-038</x:v>
      </x:c>
      <x:c r="B39" s="17" t="str">
        <x:v>HA Nasim Pearl</x:v>
      </x:c>
      <x:c r="C39" s="17" t="str">
        <x:v>Abha Qatar</x:v>
      </x:c>
      <x:c r="D39" s="17" t="str">
        <x:v>Filly</x:v>
      </x:c>
      <x:c r="E39" s="17" t="str">
        <x:v>Mature</x:v>
      </x:c>
      <x:c r="F39" s="22" t="n">
        <x:f>AVERAGEIF(Judge_Scores!$B$2:$B$121,$A39,Judge_Scores!$E$2:$E$121)</x:f>
        <x:v>18.466666666666665</x:v>
      </x:c>
      <x:c r="G39" s="22" t="n">
        <x:f>AVERAGEIF(Judge_Scores!$B$2:$B$121,$A39,Judge_Scores!$F$2:$F$121)</x:f>
        <x:v>19.7</x:v>
      </x:c>
      <x:c r="H39" s="22" t="n">
        <x:f>AVERAGEIF(Judge_Scores!$B$2:$B$121,$A39,Judge_Scores!$G$2:$G$121)</x:f>
        <x:v>17.666666666666668</x:v>
      </x:c>
      <x:c r="I39" s="22" t="n">
        <x:f>AVERAGEIF(Judge_Scores!$B$2:$B$121,$A39,Judge_Scores!$H$2:$H$121)</x:f>
        <x:v>18.366666666666664</x:v>
      </x:c>
      <x:c r="J39" s="22" t="n">
        <x:f>AVERAGEIF(Judge_Scores!$B$2:$B$121,$A39,Judge_Scores!$I$2:$I$121)</x:f>
        <x:v>18.333333333333332</x:v>
      </x:c>
      <x:c r="K39" s="22" t="n">
        <x:f>AVERAGEIF(Judge_Scores!$B$2:$B$121,$A39,Judge_Scores!$J$2:$J$121)</x:f>
        <x:v>17.599999999999998</x:v>
      </x:c>
      <x:c r="L39" s="22" t="n">
        <x:f>AVERAGEIF(Judge_Scores!$B$2:$B$121,$A39,Judge_Scores!$K$2:$K$121)</x:f>
        <x:v>110.13333333333333</x:v>
      </x:c>
      <x:c r="M39" s="17" t="n">
        <x:f>1+COUNTIF($L$2:$L$41,"&gt;"&amp;L39)</x:f>
        <x:v>24</x:v>
      </x:c>
      <x:c r="N39" s="17" t="str">
        <x:f>IF(L39&gt;=112,"Elite",IF(L39&gt;=106,"High",IF(L39&gt;=100,"Developing","Needs Review")))</x:f>
        <x:v>High</x:v>
      </x:c>
      <x:c r="O39" s="17" t="str">
        <x:v>Head Neck</x:v>
      </x:c>
      <x:c r="P39" s="17" t="str">
        <x:v>Balance</x:v>
      </x:c>
    </x:row>
    <x:row r="40">
      <x:c r="A40" s="17" t="str">
        <x:v>HA-039</x:v>
      </x:c>
      <x:c r="B40" s="17" t="str">
        <x:v>HA Leila Royal Flame</x:v>
      </x:c>
      <x:c r="C40" s="17" t="str">
        <x:v>Pogrom</x:v>
      </x:c>
      <x:c r="D40" s="17" t="str">
        <x:v>Mare</x:v>
      </x:c>
      <x:c r="E40" s="17" t="str">
        <x:v>Young Horse</x:v>
      </x:c>
      <x:c r="F40" s="22" t="n">
        <x:f>AVERAGEIF(Judge_Scores!$B$2:$B$121,$A40,Judge_Scores!$E$2:$E$121)</x:f>
        <x:v>18.8</x:v>
      </x:c>
      <x:c r="G40" s="22" t="n">
        <x:f>AVERAGEIF(Judge_Scores!$B$2:$B$121,$A40,Judge_Scores!$F$2:$F$121)</x:f>
        <x:v>18.400000000000002</x:v>
      </x:c>
      <x:c r="H40" s="22" t="n">
        <x:f>AVERAGEIF(Judge_Scores!$B$2:$B$121,$A40,Judge_Scores!$G$2:$G$121)</x:f>
        <x:v>18.233333333333334</x:v>
      </x:c>
      <x:c r="I40" s="22" t="n">
        <x:f>AVERAGEIF(Judge_Scores!$B$2:$B$121,$A40,Judge_Scores!$H$2:$H$121)</x:f>
        <x:v>18.633333333333333</x:v>
      </x:c>
      <x:c r="J40" s="22" t="n">
        <x:f>AVERAGEIF(Judge_Scores!$B$2:$B$121,$A40,Judge_Scores!$I$2:$I$121)</x:f>
        <x:v>18.733333333333334</x:v>
      </x:c>
      <x:c r="K40" s="22" t="n">
        <x:f>AVERAGEIF(Judge_Scores!$B$2:$B$121,$A40,Judge_Scores!$J$2:$J$121)</x:f>
        <x:v>17.833333333333332</x:v>
      </x:c>
      <x:c r="L40" s="22" t="n">
        <x:f>AVERAGEIF(Judge_Scores!$B$2:$B$121,$A40,Judge_Scores!$K$2:$K$121)</x:f>
        <x:v>110.63333333333333</x:v>
      </x:c>
      <x:c r="M40" s="17" t="n">
        <x:f>1+COUNTIF($L$2:$L$41,"&gt;"&amp;L40)</x:f>
        <x:v>18</x:v>
      </x:c>
      <x:c r="N40" s="17" t="str">
        <x:f>IF(L40&gt;=112,"Elite",IF(L40&gt;=106,"High",IF(L40&gt;=100,"Developing","Needs Review")))</x:f>
        <x:v>High</x:v>
      </x:c>
      <x:c r="O40" s="17" t="str">
        <x:v>Type</x:v>
      </x:c>
      <x:c r="P40" s="17" t="str">
        <x:v>Balance</x:v>
      </x:c>
    </x:row>
    <x:row r="41">
      <x:c r="A41" s="17" t="str">
        <x:v>HA-040</x:v>
      </x:c>
      <x:c r="B41" s="17" t="str">
        <x:v>HA Kairo Marquis</x:v>
      </x:c>
      <x:c r="C41" s="17" t="str">
        <x:v>Pogrom</x:v>
      </x:c>
      <x:c r="D41" s="17" t="str">
        <x:v>Filly</x:v>
      </x:c>
      <x:c r="E41" s="17" t="str">
        <x:v>Young Horse</x:v>
      </x:c>
      <x:c r="F41" s="22" t="n">
        <x:f>AVERAGEIF(Judge_Scores!$B$2:$B$121,$A41,Judge_Scores!$E$2:$E$121)</x:f>
        <x:v>19.03333333333333</x:v>
      </x:c>
      <x:c r="G41" s="22" t="n">
        <x:f>AVERAGEIF(Judge_Scores!$B$2:$B$121,$A41,Judge_Scores!$F$2:$F$121)</x:f>
        <x:v>18.633333333333336</x:v>
      </x:c>
      <x:c r="H41" s="22" t="n">
        <x:f>AVERAGEIF(Judge_Scores!$B$2:$B$121,$A41,Judge_Scores!$G$2:$G$121)</x:f>
        <x:v>18.966666666666665</x:v>
      </x:c>
      <x:c r="I41" s="22" t="n">
        <x:f>AVERAGEIF(Judge_Scores!$B$2:$B$121,$A41,Judge_Scores!$H$2:$H$121)</x:f>
        <x:v>19.03333333333333</x:v>
      </x:c>
      <x:c r="J41" s="22" t="n">
        <x:f>AVERAGEIF(Judge_Scores!$B$2:$B$121,$A41,Judge_Scores!$I$2:$I$121)</x:f>
        <x:v>19.5</x:v>
      </x:c>
      <x:c r="K41" s="22" t="n">
        <x:f>AVERAGEIF(Judge_Scores!$B$2:$B$121,$A41,Judge_Scores!$J$2:$J$121)</x:f>
        <x:v>18.766666666666666</x:v>
      </x:c>
      <x:c r="L41" s="22" t="n">
        <x:f>AVERAGEIF(Judge_Scores!$B$2:$B$121,$A41,Judge_Scores!$K$2:$K$121)</x:f>
        <x:v>113.93333333333332</x:v>
      </x:c>
      <x:c r="M41" s="17" t="n">
        <x:f>1+COUNTIF($L$2:$L$41,"&gt;"&amp;L41)</x:f>
        <x:v>2</x:v>
      </x:c>
      <x:c r="N41" s="17" t="str">
        <x:f>IF(L41&gt;=112,"Elite",IF(L41&gt;=106,"High",IF(L41&gt;=100,"Developing","Needs Review")))</x:f>
        <x:v>Elite</x:v>
      </x:c>
      <x:c r="O41" s="17" t="str">
        <x:v>Movement</x:v>
      </x:c>
      <x:c r="P41" s="17" t="str">
        <x:v>Head Neck</x:v>
      </x:c>
    </x:row>
  </x:sheetData>
  <x:conditionalFormatting sqref="L2:L4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1068bd376464aa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18" hidden="0" customWidth="1"/>
    <x:col min="5" max="5" width="18" hidden="0" customWidth="1"/>
    <x:col min="6" max="6" width="18" hidden="0" customWidth="1"/>
    <x:col min="7" max="7" width="50" hidden="0" customWidth="1"/>
  </x:cols>
  <x:sheetData>
    <x:row r="1">
      <x:c r="A1" s="16" t="str">
        <x:v>ParentName</x:v>
      </x:c>
      <x:c r="B1" s="16" t="str">
        <x:v>ParentType</x:v>
      </x:c>
      <x:c r="C1" s="16" t="str">
        <x:v>PrimaryBloodline</x:v>
      </x:c>
      <x:c r="D1" s="16" t="str">
        <x:v>HypotheticalShowScore</x:v>
      </x:c>
      <x:c r="E1" s="16" t="str">
        <x:v>TypeInfluence</x:v>
      </x:c>
      <x:c r="F1" s="16" t="str">
        <x:v>MovementInfluence</x:v>
      </x:c>
      <x:c r="G1" s="16" t="str">
        <x:v>Notes</x:v>
      </x:c>
    </x:row>
    <x:row r="2">
      <x:c r="A2" s="17" t="str">
        <x:v>Pogrom</x:v>
      </x:c>
      <x:c r="B2" s="17" t="str">
        <x:v>Sire</x:v>
      </x:c>
      <x:c r="C2" s="17" t="str">
        <x:v>Polish/International</x:v>
      </x:c>
      <x:c r="D2" s="17" t="n">
        <x:v>112.7</x:v>
      </x:c>
      <x:c r="E2" s="17" t="str">
        <x:v>Very Strong</x:v>
      </x:c>
      <x:c r="F2" s="17" t="str">
        <x:v>Strong</x:v>
      </x:c>
      <x:c r="G2" s="17" t="str">
        <x:v>Provided sire name; other score fields are synthetic for practice.</x:v>
      </x:c>
    </x:row>
    <x:row r="3">
      <x:c r="A3" s="17" t="str">
        <x:v>Abha Qatar</x:v>
      </x:c>
      <x:c r="B3" s="17" t="str">
        <x:v>Sire</x:v>
      </x:c>
      <x:c r="C3" s="17" t="str">
        <x:v>Qatari/Spanish</x:v>
      </x:c>
      <x:c r="D3" s="17" t="n">
        <x:v>112.9</x:v>
      </x:c>
      <x:c r="E3" s="17" t="str">
        <x:v>Strong</x:v>
      </x:c>
      <x:c r="F3" s="17" t="str">
        <x:v>Moderate</x:v>
      </x:c>
      <x:c r="G3" s="17" t="str">
        <x:v>Provided sire name; other score fields are synthetic for practice.</x:v>
      </x:c>
    </x:row>
    <x:row r="4">
      <x:c r="A4" s="17" t="str">
        <x:v>Van Gogh AM</x:v>
      </x:c>
      <x:c r="B4" s="17" t="str">
        <x:v>Sire</x:v>
      </x:c>
      <x:c r="C4" s="17" t="str">
        <x:v>Brazilian/International</x:v>
      </x:c>
      <x:c r="D4" s="17" t="n">
        <x:v>111.7</x:v>
      </x:c>
      <x:c r="E4" s="17" t="str">
        <x:v>Moderate</x:v>
      </x:c>
      <x:c r="F4" s="17" t="str">
        <x:v>Moderate</x:v>
      </x:c>
      <x:c r="G4" s="17" t="str">
        <x:v>Provided sire name; other score fields are synthetic for practice.</x:v>
      </x:c>
    </x:row>
    <x:row r="5">
      <x:c r="A5" s="17" t="str">
        <x:v>Titan AS</x:v>
      </x:c>
      <x:c r="B5" s="17" t="str">
        <x:v>Sire</x:v>
      </x:c>
      <x:c r="C5" s="17" t="str">
        <x:v>American/International</x:v>
      </x:c>
      <x:c r="D5" s="17" t="n">
        <x:v>111.3</x:v>
      </x:c>
      <x:c r="E5" s="17" t="str">
        <x:v>Moderate</x:v>
      </x:c>
      <x:c r="F5" s="17" t="str">
        <x:v>Strong</x:v>
      </x:c>
      <x:c r="G5" s="17" t="str">
        <x:v>Provided sire name; other score fields are synthetic for practice.</x:v>
      </x:c>
    </x:row>
    <x:row r="6">
      <x:c r="A6" s="17" t="str">
        <x:v>Cavali by Da Valentio</x:v>
      </x:c>
      <x:c r="B6" s="17" t="str">
        <x:v>Sire</x:v>
      </x:c>
      <x:c r="C6" s="17" t="str">
        <x:v>Valentino/International</x:v>
      </x:c>
      <x:c r="D6" s="17" t="n">
        <x:v>112.8</x:v>
      </x:c>
      <x:c r="E6" s="17" t="str">
        <x:v>Very Strong</x:v>
      </x:c>
      <x:c r="F6" s="17" t="str">
        <x:v>Very Strong</x:v>
      </x:c>
      <x:c r="G6" s="17" t="str">
        <x:v>Provided sire name; other score fields are synthetic for practice.</x:v>
      </x:c>
    </x:row>
    <x:row r="7">
      <x:c r="A7" s="17" t="str">
        <x:v>Ali Jamaal</x:v>
      </x:c>
      <x:c r="B7" s="17" t="str">
        <x:v>Dam Sire</x:v>
      </x:c>
      <x:c r="C7" s="17" t="str">
        <x:v>Spanish</x:v>
      </x:c>
      <x:c r="D7" s="17" t="n">
        <x:v>109.7</x:v>
      </x:c>
      <x:c r="E7" s="17" t="str">
        <x:v>Very Strong</x:v>
      </x:c>
      <x:c r="F7" s="17" t="str">
        <x:v>Strong</x:v>
      </x:c>
      <x:c r="G7" s="17" t="str">
        <x:v>Synthetic supporting pedigree field for practice.</x:v>
      </x:c>
    </x:row>
    <x:row r="8">
      <x:c r="A8" s="17" t="str">
        <x:v>Bey Shah</x:v>
      </x:c>
      <x:c r="B8" s="17" t="str">
        <x:v>Dam Sire</x:v>
      </x:c>
      <x:c r="C8" s="17" t="str">
        <x:v>Spanish</x:v>
      </x:c>
      <x:c r="D8" s="17" t="n">
        <x:v>111.5</x:v>
      </x:c>
      <x:c r="E8" s="17" t="str">
        <x:v>Moderate</x:v>
      </x:c>
      <x:c r="F8" s="17" t="str">
        <x:v>Moderate</x:v>
      </x:c>
      <x:c r="G8" s="17" t="str">
        <x:v>Synthetic supporting pedigree field for practice.</x:v>
      </x:c>
    </x:row>
    <x:row r="9">
      <x:c r="A9" s="17" t="str">
        <x:v>Da Valentino</x:v>
      </x:c>
      <x:c r="B9" s="17" t="str">
        <x:v>Dam Sire</x:v>
      </x:c>
      <x:c r="C9" s="17" t="str">
        <x:v>American</x:v>
      </x:c>
      <x:c r="D9" s="17" t="n">
        <x:v>106.8</x:v>
      </x:c>
      <x:c r="E9" s="17" t="str">
        <x:v>Strong</x:v>
      </x:c>
      <x:c r="F9" s="17" t="str">
        <x:v>Moderate</x:v>
      </x:c>
      <x:c r="G9" s="17" t="str">
        <x:v>Synthetic supporting pedigree field for practice.</x:v>
      </x:c>
    </x:row>
    <x:row r="10">
      <x:c r="A10" s="17" t="str">
        <x:v>El Nabila B</x:v>
      </x:c>
      <x:c r="B10" s="17" t="str">
        <x:v>Dam Sire</x:v>
      </x:c>
      <x:c r="C10" s="17" t="str">
        <x:v>Spanish</x:v>
      </x:c>
      <x:c r="D10" s="17" t="n">
        <x:v>106.5</x:v>
      </x:c>
      <x:c r="E10" s="17" t="str">
        <x:v>Moderate</x:v>
      </x:c>
      <x:c r="F10" s="17" t="str">
        <x:v>Moderate</x:v>
      </x:c>
      <x:c r="G10" s="17" t="str">
        <x:v>Synthetic supporting pedigree field for practice.</x:v>
      </x:c>
    </x:row>
    <x:row r="11">
      <x:c r="A11" s="17" t="str">
        <x:v>Gazal Al Shaqab</x:v>
      </x:c>
      <x:c r="B11" s="17" t="str">
        <x:v>Dam Sire</x:v>
      </x:c>
      <x:c r="C11" s="17" t="str">
        <x:v>International</x:v>
      </x:c>
      <x:c r="D11" s="17" t="n">
        <x:v>107.6</x:v>
      </x:c>
      <x:c r="E11" s="17" t="str">
        <x:v>Strong</x:v>
      </x:c>
      <x:c r="F11" s="17" t="str">
        <x:v>Strong</x:v>
      </x:c>
      <x:c r="G11" s="17" t="str">
        <x:v>Synthetic supporting pedigree field for practice.</x:v>
      </x:c>
    </x:row>
    <x:row r="12">
      <x:c r="A12" s="17" t="str">
        <x:v>Magnum Psyche</x:v>
      </x:c>
      <x:c r="B12" s="17" t="str">
        <x:v>Dam Sire</x:v>
      </x:c>
      <x:c r="C12" s="17" t="str">
        <x:v>Polish</x:v>
      </x:c>
      <x:c r="D12" s="17" t="n">
        <x:v>106.5</x:v>
      </x:c>
      <x:c r="E12" s="17" t="str">
        <x:v>Strong</x:v>
      </x:c>
      <x:c r="F12" s="17" t="str">
        <x:v>Moderate</x:v>
      </x:c>
      <x:c r="G12" s="17" t="str">
        <x:v>Synthetic supporting pedigree field for practice.</x:v>
      </x:c>
    </x:row>
    <x:row r="13">
      <x:c r="A13" s="17" t="str">
        <x:v>Marwan Al Shaqab</x:v>
      </x:c>
      <x:c r="B13" s="17" t="str">
        <x:v>Dam Sire</x:v>
      </x:c>
      <x:c r="C13" s="17" t="str">
        <x:v>Egyptian</x:v>
      </x:c>
      <x:c r="D13" s="17" t="n">
        <x:v>107.2</x:v>
      </x:c>
      <x:c r="E13" s="17" t="str">
        <x:v>Strong</x:v>
      </x:c>
      <x:c r="F13" s="17" t="str">
        <x:v>Moderate</x:v>
      </x:c>
      <x:c r="G13" s="17" t="str">
        <x:v>Synthetic supporting pedigree field for practice.</x:v>
      </x:c>
    </x:row>
    <x:row r="14">
      <x:c r="A14" s="17" t="str">
        <x:v>Padron</x:v>
      </x:c>
      <x:c r="B14" s="17" t="str">
        <x:v>Dam Sire</x:v>
      </x:c>
      <x:c r="C14" s="17" t="str">
        <x:v>Spanish</x:v>
      </x:c>
      <x:c r="D14" s="17" t="n">
        <x:v>112</x:v>
      </x:c>
      <x:c r="E14" s="17" t="str">
        <x:v>Very Strong</x:v>
      </x:c>
      <x:c r="F14" s="17" t="str">
        <x:v>Very Strong</x:v>
      </x:c>
      <x:c r="G14" s="17" t="str">
        <x:v>Synthetic supporting pedigree field for practice.</x:v>
      </x:c>
    </x:row>
    <x:row r="15">
      <x:c r="A15" s="17" t="str">
        <x:v>Versace</x:v>
      </x:c>
      <x:c r="B15" s="17" t="str">
        <x:v>Dam Sire</x:v>
      </x:c>
      <x:c r="C15" s="17" t="str">
        <x:v>International</x:v>
      </x:c>
      <x:c r="D15" s="17" t="n">
        <x:v>106.3</x:v>
      </x:c>
      <x:c r="E15" s="17" t="str">
        <x:v>Moderate</x:v>
      </x:c>
      <x:c r="F15" s="17" t="str">
        <x:v>Moderate</x:v>
      </x:c>
      <x:c r="G15" s="17" t="str">
        <x:v>Synthetic supporting pedigree field for practice.</x:v>
      </x:c>
    </x:row>
    <x:row r="16">
      <x:c r="A16" s="17" t="str">
        <x:v>WH Justice</x:v>
      </x:c>
      <x:c r="B16" s="17" t="str">
        <x:v>Dam Sire</x:v>
      </x:c>
      <x:c r="C16" s="17" t="str">
        <x:v>Spanish</x:v>
      </x:c>
      <x:c r="D16" s="17" t="n">
        <x:v>104.6</x:v>
      </x:c>
      <x:c r="E16" s="17" t="str">
        <x:v>Moderate</x:v>
      </x:c>
      <x:c r="F16" s="17" t="str">
        <x:v>Moderate</x:v>
      </x:c>
      <x:c r="G16" s="17" t="str">
        <x:v>Synthetic supporting pedigree field for practice.</x:v>
      </x:c>
    </x:row>
  </x:sheetData>
  <x:pageMargins left="0.7" right="0.7" top="0.75" bottom="0.75" header="0.3" footer="0.3"/>
  <x:tableParts count="1">
    <x:tablePart xmlns:r="http://schemas.openxmlformats.org/officeDocument/2006/relationships" r:id="R1cf689b9b07e4d4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26" hidden="0" customWidth="1"/>
  </x:cols>
  <x:sheetData>
    <x:row r="1">
      <x:c r="A1" s="30" t="str">
        <x:v>Arabian Horse Scoring Dashboard</x:v>
      </x:c>
      <x:c r="B1" s="17"/>
      <x:c r="C1" s="17"/>
      <x:c r="D1" s="17"/>
      <x:c r="E1" s="17"/>
      <x:c r="F1" s="17"/>
      <x:c r="G1" s="17"/>
    </x:row>
    <x:row r="2">
      <x:c r="A2" s="27" t="str">
        <x:v>Synthetic practice dataset; not official AHA scoring or actual farm records.</x:v>
      </x:c>
      <x:c r="B2"/>
      <x:c r="C2"/>
      <x:c r="D2"/>
      <x:c r="E2"/>
      <x:c r="F2"/>
      <x:c r="G2"/>
    </x:row>
    <x:row r="3">
      <x:c r="A3"/>
      <x:c r="B3"/>
      <x:c r="C3"/>
      <x:c r="D3"/>
      <x:c r="E3"/>
      <x:c r="F3"/>
      <x:c r="G3"/>
    </x:row>
    <x:row r="4">
      <x:c r="A4" s="12" t="str">
        <x:v>KPI</x:v>
      </x:c>
      <x:c r="B4" s="12" t="str">
        <x:v>Value</x:v>
      </x:c>
      <x:c r="C4"/>
      <x:c r="D4"/>
      <x:c r="E4"/>
      <x:c r="F4"/>
      <x:c r="G4"/>
    </x:row>
    <x:row r="5">
      <x:c r="A5" t="str">
        <x:v>Total Horses</x:v>
      </x:c>
      <x:c r="B5" t="n">
        <x:f>COUNTA(Horse_Profile!$A$2:$A$41)</x:f>
        <x:v>40</x:v>
      </x:c>
      <x:c r="C5"/>
      <x:c r="D5"/>
      <x:c r="E5"/>
      <x:c r="F5"/>
      <x:c r="G5"/>
    </x:row>
    <x:row r="6">
      <x:c r="A6" t="str">
        <x:v>Average Total Score</x:v>
      </x:c>
      <x:c r="B6" t="n">
        <x:f>AVERAGE(Horse_Score_Summary!$L$2:$L$41)</x:f>
        <x:v>109.8425</x:v>
      </x:c>
      <x:c r="C6"/>
      <x:c r="D6"/>
      <x:c r="E6"/>
      <x:c r="F6"/>
      <x:c r="G6"/>
    </x:row>
    <x:row r="7">
      <x:c r="A7" t="str">
        <x:v>Top Scoring Horse</x:v>
      </x:c>
      <x:c r="B7" t="str">
        <x:f>INDEX(Horse_Score_Summary!$B$2:$B$41,MATCH(MAX(Horse_Score_Summary!$L$2:$L$41),Horse_Score_Summary!$L$2:$L$41,0))</x:f>
        <x:v>HA Rami Royal Flame</x:v>
      </x:c>
      <x:c r="C7"/>
      <x:c r="D7"/>
      <x:c r="E7"/>
      <x:c r="F7"/>
      <x:c r="G7"/>
    </x:row>
    <x:row r="8">
      <x:c r="A8" t="str">
        <x:v>Most Common Sire</x:v>
      </x:c>
      <x:c r="B8" t="str">
        <x:f>INDEX(A11:A15,MATCH(MAX(B11:B15),B11:B15,0))</x:f>
        <x:v>Pogrom</x:v>
      </x:c>
      <x:c r="C8"/>
      <x:c r="D8"/>
      <x:c r="E8"/>
      <x:c r="F8"/>
      <x:c r="G8"/>
    </x:row>
    <x:row r="9">
      <x:c r="A9"/>
      <x:c r="B9"/>
      <x:c r="C9"/>
      <x:c r="D9"/>
      <x:c r="E9"/>
      <x:c r="F9"/>
      <x:c r="G9"/>
    </x:row>
    <x:row r="10">
      <x:c r="A10" s="13" t="str">
        <x:v>Sire</x:v>
      </x:c>
      <x:c r="B10" s="13" t="str">
        <x:v>Horse Count</x:v>
      </x:c>
      <x:c r="C10" s="13" t="str">
        <x:v>Avg Total</x:v>
      </x:c>
      <x:c r="D10" s="13" t="str">
        <x:v>Avg Type</x:v>
      </x:c>
      <x:c r="E10" s="13" t="str">
        <x:v>Avg Head/Neck</x:v>
      </x:c>
      <x:c r="F10" s="13" t="str">
        <x:v>Avg Movement</x:v>
      </x:c>
      <x:c r="G10" s="13" t="str">
        <x:v>Top Horse</x:v>
      </x:c>
    </x:row>
    <x:row r="11">
      <x:c r="A11" t="str">
        <x:v>Pogrom</x:v>
      </x:c>
      <x:c r="B11" t="n">
        <x:v>10</x:v>
      </x:c>
      <x:c r="C11" s="32" t="n">
        <x:v>112.3</x:v>
      </x:c>
      <x:c r="D11" s="32" t="n">
        <x:v>18.84</x:v>
      </x:c>
      <x:c r="E11" s="32" t="n">
        <x:v>18.29</x:v>
      </x:c>
      <x:c r="F11" s="32" t="n">
        <x:v>19.21</x:v>
      </x:c>
      <x:c r="G11" t="str">
        <x:v>HA Rami Royal Flame</x:v>
      </x:c>
    </x:row>
    <x:row r="12">
      <x:c r="A12" t="str">
        <x:v>Abha Qatar</x:v>
      </x:c>
      <x:c r="B12" t="n">
        <x:v>8</x:v>
      </x:c>
      <x:c r="C12" s="32" t="n">
        <x:v>108.95</x:v>
      </x:c>
      <x:c r="D12" s="32" t="n">
        <x:v>18.42</x:v>
      </x:c>
      <x:c r="E12" s="32" t="n">
        <x:v>18.74</x:v>
      </x:c>
      <x:c r="F12" s="32" t="n">
        <x:v>18.13</x:v>
      </x:c>
      <x:c r="G12" t="str">
        <x:v>HA Saffron Golden Star</x:v>
      </x:c>
    </x:row>
    <x:row r="13">
      <x:c r="A13" t="str">
        <x:v>Van Gogh AM</x:v>
      </x:c>
      <x:c r="B13" t="n">
        <x:v>8</x:v>
      </x:c>
      <x:c r="C13" s="32" t="n">
        <x:v>108.9</x:v>
      </x:c>
      <x:c r="D13" s="32" t="n">
        <x:v>18.25</x:v>
      </x:c>
      <x:c r="E13" s="32" t="n">
        <x:v>18.6</x:v>
      </x:c>
      <x:c r="F13" s="32" t="n">
        <x:v>17.87</x:v>
      </x:c>
      <x:c r="G13" t="str">
        <x:v>HA Malika Amethyst</x:v>
      </x:c>
    </x:row>
    <x:row r="14">
      <x:c r="A14" t="str">
        <x:v>Titan AS</x:v>
      </x:c>
      <x:c r="B14" t="n">
        <x:v>7</x:v>
      </x:c>
      <x:c r="C14" s="32" t="n">
        <x:v>106.11</x:v>
      </x:c>
      <x:c r="D14" s="32" t="n">
        <x:v>17.51</x:v>
      </x:c>
      <x:c r="E14" s="32" t="n">
        <x:v>17.16</x:v>
      </x:c>
      <x:c r="F14" s="32" t="n">
        <x:v>17.39</x:v>
      </x:c>
      <x:c r="G14" t="str">
        <x:v>HA Soraya Amethyst</x:v>
      </x:c>
    </x:row>
    <x:row r="15">
      <x:c r="A15" t="str">
        <x:v>Cavali by Da Valentio</x:v>
      </x:c>
      <x:c r="B15" t="n">
        <x:v>7</x:v>
      </x:c>
      <x:c r="C15" s="32" t="n">
        <x:v>112.15</x:v>
      </x:c>
      <x:c r="D15" s="32" t="n">
        <x:v>19.04</x:v>
      </x:c>
      <x:c r="E15" s="32" t="n">
        <x:v>18.92</x:v>
      </x:c>
      <x:c r="F15" s="32" t="n">
        <x:v>18.78</x:v>
      </x:c>
      <x:c r="G15" t="str">
        <x:v>HA Rashid Golden Star</x:v>
      </x:c>
    </x:row>
  </x:sheetData>
  <x:mergeCells>
    <x:mergeCell ref="A1:G1"/>
    <x:mergeCell ref="A2:G2"/>
  </x:mergeCells>
  <x:pageMargins left="0.7" right="0.7" top="0.75" bottom="0.75" header="0.3" footer="0.3"/>
  <x:drawing xmlns:r="http://schemas.openxmlformats.org/officeDocument/2006/relationships" r:id="Rcb0e03dbd63b4fda"/>
</x:worksheet>
</file>
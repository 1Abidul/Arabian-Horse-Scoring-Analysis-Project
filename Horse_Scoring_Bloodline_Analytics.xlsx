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bout" sheetId="2" state="visible" r:id="rId4"/>
    <sheet name="Settings" sheetId="3" state="visible" r:id="rId5"/>
    <sheet name="Horse_Profile" sheetId="4" state="visible" r:id="rId6"/>
    <sheet name="Judge_Scores" sheetId="5" state="visible" r:id="rId7"/>
    <sheet name="Parent_Reference" sheetId="6" state="visible" r:id="rId8"/>
    <sheet name="Horse_Summary" sheetId="7" state="visible" r:id="rId9"/>
    <sheet name="Bloodline_Analysis" sheetId="8" state="visible" r:id="rId10"/>
    <sheet name="Parent_Performance" sheetId="9" state="visible" r:id="rId11"/>
    <sheet name="Age_Sex" sheetId="10" state="visible" r:id="rId12"/>
    <sheet name="Conformation" sheetId="11" state="visible" r:id="rId13"/>
    <sheet name="Judge_Analysi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Q1" authorId="0">
      <text>
        <r>
          <rPr>
            <sz val="10"/>
            <rFont val="Arial"/>
            <family val="2"/>
          </rPr>
          <t xml:space="preserve">Flags sex labels that conflict with age (colt/filly must be under 4; stallion/mare 4+). Threshold on Settings.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P1" authorId="0">
      <text>
        <r>
          <rPr>
            <sz val="10"/>
            <rFont val="Arial"/>
            <family val="2"/>
          </rPr>
          <t xml:space="preserve">Highest minus lowest judge total for this horse — a measure of judge disagreement.</t>
        </r>
      </text>
    </comment>
    <comment ref="R1" authorId="0">
      <text>
        <r>
          <rPr>
            <sz val="10"/>
            <rFont val="Arial"/>
            <family val="2"/>
          </rPr>
          <t xml:space="preserve">Rank with ties broken by row order — used to build the Top 10 list.</t>
        </r>
      </text>
    </comment>
    <comment ref="Z1" authorId="0">
      <text>
        <r>
          <rPr>
            <sz val="10"/>
            <rFont val="Arial"/>
            <family val="2"/>
          </rPr>
          <t xml:space="preserve">Helper key (Sire|rank within sire line) used to look up each line's top horse.</t>
        </r>
      </text>
    </comment>
  </commentList>
</comments>
</file>

<file path=xl/sharedStrings.xml><?xml version="1.0" encoding="utf-8"?>
<sst xmlns="http://schemas.openxmlformats.org/spreadsheetml/2006/main" count="1714" uniqueCount="563">
  <si>
    <t xml:space="preserve">Arabian Horse Scoring &amp; Bloodline Dashboard</t>
  </si>
  <si>
    <t xml:space="preserve">40 horses · 3 judges · 6 AHA-style halter categories (0–20) · synthetic practice data — not official AHA results</t>
  </si>
  <si>
    <t xml:space="preserve">Horses</t>
  </si>
  <si>
    <t xml:space="preserve">Avg total score</t>
  </si>
  <si>
    <t xml:space="preserve">Elite horses</t>
  </si>
  <si>
    <t xml:space="preserve">Top sire line</t>
  </si>
  <si>
    <t xml:space="preserve">Herd weakest trait</t>
  </si>
  <si>
    <t xml:space="preserve">Avg judge spread</t>
  </si>
  <si>
    <t xml:space="preserve">Top 10 horses</t>
  </si>
  <si>
    <t xml:space="preserve">Sire lines at a glance</t>
  </si>
  <si>
    <t xml:space="preserve">#</t>
  </si>
  <si>
    <t xml:space="preserve">Horse</t>
  </si>
  <si>
    <t xml:space="preserve">Sire</t>
  </si>
  <si>
    <t xml:space="preserve">Sex</t>
  </si>
  <si>
    <t xml:space="preserve">Age group</t>
  </si>
  <si>
    <t xml:space="preserve">Avg total</t>
  </si>
  <si>
    <t xml:space="preserve">Tier</t>
  </si>
  <si>
    <t xml:space="preserve">Elite %</t>
  </si>
  <si>
    <t xml:space="preserve">Best trait</t>
  </si>
  <si>
    <t xml:space="preserve">Weakest trait</t>
  </si>
  <si>
    <t xml:space="preserve">Horse lookup — pick a horse from the yellow cell</t>
  </si>
  <si>
    <t xml:space="preserve">Horse:</t>
  </si>
  <si>
    <t xml:space="preserve">HA Amira Legacy</t>
  </si>
  <si>
    <t xml:space="preserve">Rank</t>
  </si>
  <si>
    <t xml:space="preserve">Dam sire</t>
  </si>
  <si>
    <t xml:space="preserve">Strongest</t>
  </si>
  <si>
    <t xml:space="preserve">Focus area</t>
  </si>
  <si>
    <t xml:space="preserve">Judge spread</t>
  </si>
  <si>
    <t xml:space="preserve">Trait</t>
  </si>
  <si>
    <t xml:space="preserve">Herd avg</t>
  </si>
  <si>
    <t xml:space="preserve">Sire avg</t>
  </si>
  <si>
    <t xml:space="preserve">Vs herd</t>
  </si>
  <si>
    <t xml:space="preserve">Type</t>
  </si>
  <si>
    <t xml:space="preserve">Head_Neck</t>
  </si>
  <si>
    <t xml:space="preserve">Body_Topline</t>
  </si>
  <si>
    <t xml:space="preserve">Legs</t>
  </si>
  <si>
    <t xml:space="preserve">Movement</t>
  </si>
  <si>
    <t xml:space="preserve">Balance</t>
  </si>
  <si>
    <t xml:space="preserve">About this workbook</t>
  </si>
  <si>
    <t xml:space="preserve">Project</t>
  </si>
  <si>
    <t xml:space="preserve">Horse Scoring &amp; Bloodline Analytics — Excel component</t>
  </si>
  <si>
    <t xml:space="preserve">Data</t>
  </si>
  <si>
    <t xml:space="preserve">Synthetic practice dataset: 40 Arabian horses, 120 judge score rows (3 judges x 40), 15 parent records. Only sire names are real; all scores and pedigrees are hypothetical.</t>
  </si>
  <si>
    <t xml:space="preserve">Scoring</t>
  </si>
  <si>
    <t xml:space="preserve">Six AHA-style halter categories (Type, Head/Neck, Body/Topline, Legs, Movement, Balance), 0–20 each, total out of 120 per judge. Horse score = average of the 3 judges.</t>
  </si>
  <si>
    <t xml:space="preserve">Sheet guide</t>
  </si>
  <si>
    <t xml:space="preserve">Dashboard</t>
  </si>
  <si>
    <t xml:space="preserve">KPIs, Top 10, sire summary, interactive horse lookup (yellow dropdown) and charts.</t>
  </si>
  <si>
    <t xml:space="preserve">Horse_Profile</t>
  </si>
  <si>
    <t xml:space="preserve">Source profiles + computed Age and a sex/age data-quality flag.</t>
  </si>
  <si>
    <t xml:space="preserve">Judge_Scores</t>
  </si>
  <si>
    <t xml:space="preserve">Source judge scores; TotalScore = SUM of the six traits.</t>
  </si>
  <si>
    <t xml:space="preserve">Parent_Reference</t>
  </si>
  <si>
    <t xml:space="preserve">Sire / dam-sire reference + offspring count, average and gap vs parent score.</t>
  </si>
  <si>
    <t xml:space="preserve">Horse_Summary</t>
  </si>
  <si>
    <t xml:space="preserve">One row per horse: trait averages, total, rank, tier, strength/focus, parent scores. Feeds all analysis sheets.</t>
  </si>
  <si>
    <t xml:space="preserve">Bloodline_Analysis</t>
  </si>
  <si>
    <t xml:space="preserve">Sire line, dam sire, dam line and farm group comparisons; trait profile per sire.</t>
  </si>
  <si>
    <t xml:space="preserve">Parent_Performance</t>
  </si>
  <si>
    <t xml:space="preserve">Correlation / slope of parent show scores vs offspring scores.</t>
  </si>
  <si>
    <t xml:space="preserve">Age_Sex</t>
  </si>
  <si>
    <t xml:space="preserve">Age group x sex matrices for score, count and traits.</t>
  </si>
  <si>
    <t xml:space="preserve">Conformation</t>
  </si>
  <si>
    <t xml:space="preserve">Herd trait averages, strongest/weakest counts, below-threshold counts, trait correlations.</t>
  </si>
  <si>
    <t xml:space="preserve">Judge_Analysis</t>
  </si>
  <si>
    <t xml:space="preserve">Judge bias by trait and inter-judge agreement.</t>
  </si>
  <si>
    <t xml:space="preserve">Settings</t>
  </si>
  <si>
    <t xml:space="preserve">Inputs: reference year, tier cut-offs, colt/filly age limit.</t>
  </si>
  <si>
    <t xml:space="preserve">Colour legend</t>
  </si>
  <si>
    <t xml:space="preserve">Blue text on yellow = input you can change · Black = formula · Green = link to another sheet · Blue/red cell shading = above/below average.</t>
  </si>
  <si>
    <t xml:space="preserve">Formulas</t>
  </si>
  <si>
    <t xml:space="preserve">Every analysis number is a live formula; edit Judge_Scores or Settings and everything updates.</t>
  </si>
  <si>
    <t xml:space="preserve">Settings &amp; assumptions</t>
  </si>
  <si>
    <t xml:space="preserve">Yellow cells with blue text are inputs — change them and every sheet recalculates.</t>
  </si>
  <si>
    <t xml:space="preserve">Setting</t>
  </si>
  <si>
    <t xml:space="preserve">Value</t>
  </si>
  <si>
    <t xml:space="preserve">Note / source</t>
  </si>
  <si>
    <t xml:space="preserve">Show / reference year</t>
  </si>
  <si>
    <t xml:space="preserve">Used to compute age from BirthYear. Assumed current season.</t>
  </si>
  <si>
    <t xml:space="preserve">Max score per trait</t>
  </si>
  <si>
    <t xml:space="preserve">AHA-style halter category maximum (from dataset README).</t>
  </si>
  <si>
    <t xml:space="preserve">Max total per judge</t>
  </si>
  <si>
    <t xml:space="preserve">6 categories x 20 points (from dataset README).</t>
  </si>
  <si>
    <t xml:space="preserve">Elite tier — minimum avg total</t>
  </si>
  <si>
    <t xml:space="preserve">Tier cut-offs carried over from the source workbook formulas.</t>
  </si>
  <si>
    <t xml:space="preserve">High tier — minimum avg total</t>
  </si>
  <si>
    <t xml:space="preserve">Developing tier — minimum avg total</t>
  </si>
  <si>
    <t xml:space="preserve">Below this = "Needs Review".</t>
  </si>
  <si>
    <t xml:space="preserve">Colt/Filly maximum age</t>
  </si>
  <si>
    <t xml:space="preserve">Halter convention: colt/filly under 4, stallion/mare 4+. Used for data-quality flag.</t>
  </si>
  <si>
    <t xml:space="preserve">HorseID</t>
  </si>
  <si>
    <t xml:space="preserve">RegisteredName</t>
  </si>
  <si>
    <t xml:space="preserve">BarnName</t>
  </si>
  <si>
    <t xml:space="preserve">BirthYear</t>
  </si>
  <si>
    <t xml:space="preserve">AgeGroup</t>
  </si>
  <si>
    <t xml:space="preserve">Color</t>
  </si>
  <si>
    <t xml:space="preserve">CountryOfFoaling</t>
  </si>
  <si>
    <t xml:space="preserve">Dam</t>
  </si>
  <si>
    <t xml:space="preserve">DamSire</t>
  </si>
  <si>
    <t xml:space="preserve">PaternalLine</t>
  </si>
  <si>
    <t xml:space="preserve">DamLine</t>
  </si>
  <si>
    <t xml:space="preserve">FarmGroup</t>
  </si>
  <si>
    <t xml:space="preserve">Notes</t>
  </si>
  <si>
    <t xml:space="preserve">Age</t>
  </si>
  <si>
    <t xml:space="preserve">DataFlag</t>
  </si>
  <si>
    <t xml:space="preserve">HA-001</t>
  </si>
  <si>
    <t xml:space="preserve">Amira</t>
  </si>
  <si>
    <t xml:space="preserve">Gelding</t>
  </si>
  <si>
    <t xml:space="preserve">Young Horse</t>
  </si>
  <si>
    <t xml:space="preserve">Bay</t>
  </si>
  <si>
    <t xml:space="preserve">Spain</t>
  </si>
  <si>
    <t xml:space="preserve">Pogrom</t>
  </si>
  <si>
    <t xml:space="preserve">Rose Amar HA</t>
  </si>
  <si>
    <t xml:space="preserve">El Nabila B</t>
  </si>
  <si>
    <t xml:space="preserve">Polish/International</t>
  </si>
  <si>
    <t xml:space="preserve">Egyptian-influenced</t>
  </si>
  <si>
    <t xml:space="preserve">Performance Prospect</t>
  </si>
  <si>
    <t xml:space="preserve">Good movement</t>
  </si>
  <si>
    <t xml:space="preserve">HA-002</t>
  </si>
  <si>
    <t xml:space="preserve">HA Basir Royal Flame</t>
  </si>
  <si>
    <t xml:space="preserve">Basir</t>
  </si>
  <si>
    <t xml:space="preserve">Colt</t>
  </si>
  <si>
    <t xml:space="preserve">Junior</t>
  </si>
  <si>
    <t xml:space="preserve">Grey</t>
  </si>
  <si>
    <t xml:space="preserve">USA</t>
  </si>
  <si>
    <t xml:space="preserve">Sultana Mirage HA</t>
  </si>
  <si>
    <t xml:space="preserve">Marwan Al Shaqab</t>
  </si>
  <si>
    <t xml:space="preserve">Crabbet-influenced</t>
  </si>
  <si>
    <t xml:space="preserve">Breeding Prospect</t>
  </si>
  <si>
    <t xml:space="preserve">HA-003</t>
  </si>
  <si>
    <t xml:space="preserve">HA Nadir Sundance</t>
  </si>
  <si>
    <t xml:space="preserve">Nadir</t>
  </si>
  <si>
    <t xml:space="preserve">Stallion</t>
  </si>
  <si>
    <t xml:space="preserve">Black</t>
  </si>
  <si>
    <t xml:space="preserve">Qatar</t>
  </si>
  <si>
    <t xml:space="preserve">Abha Qatar</t>
  </si>
  <si>
    <t xml:space="preserve">Amira Star AM</t>
  </si>
  <si>
    <t xml:space="preserve">Da Valentino</t>
  </si>
  <si>
    <t xml:space="preserve">Qatari/Spanish</t>
  </si>
  <si>
    <t xml:space="preserve">Spanish</t>
  </si>
  <si>
    <t xml:space="preserve">Youth/Amateur</t>
  </si>
  <si>
    <t xml:space="preserve">Strong head and neck</t>
  </si>
  <si>
    <t xml:space="preserve">HA-004</t>
  </si>
  <si>
    <t xml:space="preserve">HA Layla Dream</t>
  </si>
  <si>
    <t xml:space="preserve">Layla</t>
  </si>
  <si>
    <t xml:space="preserve">Mare</t>
  </si>
  <si>
    <t xml:space="preserve">Chestnut</t>
  </si>
  <si>
    <t xml:space="preserve">Cavali by Da Valentio</t>
  </si>
  <si>
    <t xml:space="preserve">Noura Mirage AS</t>
  </si>
  <si>
    <t xml:space="preserve">Bey Shah</t>
  </si>
  <si>
    <t xml:space="preserve">Valentino/International</t>
  </si>
  <si>
    <t xml:space="preserve">Domestic</t>
  </si>
  <si>
    <t xml:space="preserve">Scope for conditioning</t>
  </si>
  <si>
    <t xml:space="preserve">HA-005</t>
  </si>
  <si>
    <t xml:space="preserve">HA Zafir Golden Star</t>
  </si>
  <si>
    <t xml:space="preserve">Zafir</t>
  </si>
  <si>
    <t xml:space="preserve">Poland</t>
  </si>
  <si>
    <t xml:space="preserve">Van Gogh AM</t>
  </si>
  <si>
    <t xml:space="preserve">Jewel Hammad AM</t>
  </si>
  <si>
    <t xml:space="preserve">Brazilian/International</t>
  </si>
  <si>
    <t xml:space="preserve">Show String</t>
  </si>
  <si>
    <t xml:space="preserve">HA-006</t>
  </si>
  <si>
    <t xml:space="preserve">HA Malika Amethyst</t>
  </si>
  <si>
    <t xml:space="preserve">Malika</t>
  </si>
  <si>
    <t xml:space="preserve">Mature</t>
  </si>
  <si>
    <t xml:space="preserve">Desert Star AS</t>
  </si>
  <si>
    <t xml:space="preserve">Gazal Al Shaqab</t>
  </si>
  <si>
    <t xml:space="preserve">Polish</t>
  </si>
  <si>
    <t xml:space="preserve">HA-007</t>
  </si>
  <si>
    <t xml:space="preserve">HA Sultan Golden Star</t>
  </si>
  <si>
    <t xml:space="preserve">Sultan</t>
  </si>
  <si>
    <t xml:space="preserve">Titan AS</t>
  </si>
  <si>
    <t xml:space="preserve">Sultana Noor AM</t>
  </si>
  <si>
    <t xml:space="preserve">WH Justice</t>
  </si>
  <si>
    <t xml:space="preserve">American/International</t>
  </si>
  <si>
    <t xml:space="preserve">Needs maturity</t>
  </si>
  <si>
    <t xml:space="preserve">HA-008</t>
  </si>
  <si>
    <t xml:space="preserve">HA Noor Mirage</t>
  </si>
  <si>
    <t xml:space="preserve">Noor</t>
  </si>
  <si>
    <t xml:space="preserve">Belle Noor HA</t>
  </si>
  <si>
    <t xml:space="preserve">HA-009</t>
  </si>
  <si>
    <t xml:space="preserve">HA Rayan Dream</t>
  </si>
  <si>
    <t xml:space="preserve">Rayan</t>
  </si>
  <si>
    <t xml:space="preserve">Lady Amar AM</t>
  </si>
  <si>
    <t xml:space="preserve">Versace</t>
  </si>
  <si>
    <t xml:space="preserve">HA-010</t>
  </si>
  <si>
    <t xml:space="preserve">HA Sahara Desert Rose</t>
  </si>
  <si>
    <t xml:space="preserve">Sahara</t>
  </si>
  <si>
    <t xml:space="preserve">Flea-bitten Grey</t>
  </si>
  <si>
    <t xml:space="preserve">Amira Amar AS</t>
  </si>
  <si>
    <t xml:space="preserve">Ali Jamaal</t>
  </si>
  <si>
    <t xml:space="preserve">HA-011</t>
  </si>
  <si>
    <t xml:space="preserve">HA Amani Moonlight</t>
  </si>
  <si>
    <t xml:space="preserve">Amani</t>
  </si>
  <si>
    <t xml:space="preserve">Noura Amar HA</t>
  </si>
  <si>
    <t xml:space="preserve">Padron</t>
  </si>
  <si>
    <t xml:space="preserve">Foundation Mare</t>
  </si>
  <si>
    <t xml:space="preserve">Balanced profile</t>
  </si>
  <si>
    <t xml:space="preserve">HA-012</t>
  </si>
  <si>
    <t xml:space="preserve">HA Kareem Amethyst</t>
  </si>
  <si>
    <t xml:space="preserve">Kareem</t>
  </si>
  <si>
    <t xml:space="preserve">Brazil</t>
  </si>
  <si>
    <t xml:space="preserve">Jewel Hammad AS</t>
  </si>
  <si>
    <t xml:space="preserve">HA-013</t>
  </si>
  <si>
    <t xml:space="preserve">HA Jasmine Sundance</t>
  </si>
  <si>
    <t xml:space="preserve">Jasmine</t>
  </si>
  <si>
    <t xml:space="preserve">Dark Bay</t>
  </si>
  <si>
    <t xml:space="preserve">Belle Valentino RA</t>
  </si>
  <si>
    <t xml:space="preserve">Promising overall type</t>
  </si>
  <si>
    <t xml:space="preserve">HA-014</t>
  </si>
  <si>
    <t xml:space="preserve">HA Samir Moonlight</t>
  </si>
  <si>
    <t xml:space="preserve">Samir</t>
  </si>
  <si>
    <t xml:space="preserve">Filly</t>
  </si>
  <si>
    <t xml:space="preserve">Jewel Legacy RA</t>
  </si>
  <si>
    <t xml:space="preserve">HA-015</t>
  </si>
  <si>
    <t xml:space="preserve">HA Zara Marquis</t>
  </si>
  <si>
    <t xml:space="preserve">Zara</t>
  </si>
  <si>
    <t xml:space="preserve">Sultana Amar AS</t>
  </si>
  <si>
    <t xml:space="preserve">HA-016</t>
  </si>
  <si>
    <t xml:space="preserve">HA Farid Royal Flame</t>
  </si>
  <si>
    <t xml:space="preserve">Farid</t>
  </si>
  <si>
    <t xml:space="preserve">Princess Qatar AS</t>
  </si>
  <si>
    <t xml:space="preserve">HA-017</t>
  </si>
  <si>
    <t xml:space="preserve">HA Noura Al Jannat</t>
  </si>
  <si>
    <t xml:space="preserve">Noura</t>
  </si>
  <si>
    <t xml:space="preserve">Rose Noor AS</t>
  </si>
  <si>
    <t xml:space="preserve">Magnum Psyche</t>
  </si>
  <si>
    <t xml:space="preserve">HA-018</t>
  </si>
  <si>
    <t xml:space="preserve">HA Khalil Valentino</t>
  </si>
  <si>
    <t xml:space="preserve">Khalil</t>
  </si>
  <si>
    <t xml:space="preserve">Lady Hammad RA</t>
  </si>
  <si>
    <t xml:space="preserve">HA-019</t>
  </si>
  <si>
    <t xml:space="preserve">HA Saffron Golden Star</t>
  </si>
  <si>
    <t xml:space="preserve">Saffron</t>
  </si>
  <si>
    <t xml:space="preserve">Amira Star AS</t>
  </si>
  <si>
    <t xml:space="preserve">HA-020</t>
  </si>
  <si>
    <t xml:space="preserve">HA Aziza Royal Flame</t>
  </si>
  <si>
    <t xml:space="preserve">Aziza</t>
  </si>
  <si>
    <t xml:space="preserve">Jewel Valentino RA</t>
  </si>
  <si>
    <t xml:space="preserve">HA-021</t>
  </si>
  <si>
    <t xml:space="preserve">HA Majid Al Jannat</t>
  </si>
  <si>
    <t xml:space="preserve">Majid</t>
  </si>
  <si>
    <t xml:space="preserve">HA-022</t>
  </si>
  <si>
    <t xml:space="preserve">HA Dalia Desert Rose</t>
  </si>
  <si>
    <t xml:space="preserve">Dalia</t>
  </si>
  <si>
    <t xml:space="preserve">Bint Rose HA</t>
  </si>
  <si>
    <t xml:space="preserve">HA-023</t>
  </si>
  <si>
    <t xml:space="preserve">HA Rashid Golden Star</t>
  </si>
  <si>
    <t xml:space="preserve">Rashid</t>
  </si>
  <si>
    <t xml:space="preserve">Lady Valentino HA</t>
  </si>
  <si>
    <t xml:space="preserve">HA-024</t>
  </si>
  <si>
    <t xml:space="preserve">HA Soraya Amethyst</t>
  </si>
  <si>
    <t xml:space="preserve">Soraya</t>
  </si>
  <si>
    <t xml:space="preserve">HA-025</t>
  </si>
  <si>
    <t xml:space="preserve">HA Tariq Legacy</t>
  </si>
  <si>
    <t xml:space="preserve">Tariq</t>
  </si>
  <si>
    <t xml:space="preserve">Princess Mirage AM</t>
  </si>
  <si>
    <t xml:space="preserve">HA-026</t>
  </si>
  <si>
    <t xml:space="preserve">HA Luna Amethyst</t>
  </si>
  <si>
    <t xml:space="preserve">Luna</t>
  </si>
  <si>
    <t xml:space="preserve">Sultana Qatar HA</t>
  </si>
  <si>
    <t xml:space="preserve">HA-027</t>
  </si>
  <si>
    <t xml:space="preserve">HA Hakim Amethyst</t>
  </si>
  <si>
    <t xml:space="preserve">Hakim</t>
  </si>
  <si>
    <t xml:space="preserve">Princess Legacy AS</t>
  </si>
  <si>
    <t xml:space="preserve">International</t>
  </si>
  <si>
    <t xml:space="preserve">HA-028</t>
  </si>
  <si>
    <t xml:space="preserve">HA Nashira Royal Flame</t>
  </si>
  <si>
    <t xml:space="preserve">Nashira</t>
  </si>
  <si>
    <t xml:space="preserve">Amira Qatar AS</t>
  </si>
  <si>
    <t xml:space="preserve">HA-029</t>
  </si>
  <si>
    <t xml:space="preserve">HA Rahma Al Jannat</t>
  </si>
  <si>
    <t xml:space="preserve">Rahma</t>
  </si>
  <si>
    <t xml:space="preserve">HA-030</t>
  </si>
  <si>
    <t xml:space="preserve">HA Zayd Royal Flame</t>
  </si>
  <si>
    <t xml:space="preserve">Zayd</t>
  </si>
  <si>
    <t xml:space="preserve">Bint Sahara AS</t>
  </si>
  <si>
    <t xml:space="preserve">HA-031</t>
  </si>
  <si>
    <t xml:space="preserve">HA Mira Valentino</t>
  </si>
  <si>
    <t xml:space="preserve">Mira</t>
  </si>
  <si>
    <t xml:space="preserve">Belle Amar HA</t>
  </si>
  <si>
    <t xml:space="preserve">HA-032</t>
  </si>
  <si>
    <t xml:space="preserve">HA Kamal Al Jannat</t>
  </si>
  <si>
    <t xml:space="preserve">Kamal</t>
  </si>
  <si>
    <t xml:space="preserve">Princess Mirage AS</t>
  </si>
  <si>
    <t xml:space="preserve">HA-033</t>
  </si>
  <si>
    <t xml:space="preserve">HA Asha Pearl</t>
  </si>
  <si>
    <t xml:space="preserve">Asha</t>
  </si>
  <si>
    <t xml:space="preserve">HA-034</t>
  </si>
  <si>
    <t xml:space="preserve">HA Rami Royal Flame</t>
  </si>
  <si>
    <t xml:space="preserve">Rami</t>
  </si>
  <si>
    <t xml:space="preserve">Lady Noor HA</t>
  </si>
  <si>
    <t xml:space="preserve">HA-035</t>
  </si>
  <si>
    <t xml:space="preserve">HA Yara Dream</t>
  </si>
  <si>
    <t xml:space="preserve">Yara</t>
  </si>
  <si>
    <t xml:space="preserve">Jewel Noor AM</t>
  </si>
  <si>
    <t xml:space="preserve">HA-036</t>
  </si>
  <si>
    <t xml:space="preserve">HA Omar Golden Star</t>
  </si>
  <si>
    <t xml:space="preserve">Omar</t>
  </si>
  <si>
    <t xml:space="preserve">Princess Hammad HA</t>
  </si>
  <si>
    <t xml:space="preserve">HA-037</t>
  </si>
  <si>
    <t xml:space="preserve">HA Selena El Noor</t>
  </si>
  <si>
    <t xml:space="preserve">Selena</t>
  </si>
  <si>
    <t xml:space="preserve">Princess Noor HA</t>
  </si>
  <si>
    <t xml:space="preserve">HA-038</t>
  </si>
  <si>
    <t xml:space="preserve">HA Nasim Pearl</t>
  </si>
  <si>
    <t xml:space="preserve">Nasim</t>
  </si>
  <si>
    <t xml:space="preserve">Jewel Sahara RA</t>
  </si>
  <si>
    <t xml:space="preserve">HA-039</t>
  </si>
  <si>
    <t xml:space="preserve">HA Leila Royal Flame</t>
  </si>
  <si>
    <t xml:space="preserve">Leila</t>
  </si>
  <si>
    <t xml:space="preserve">Noura Legacy RA</t>
  </si>
  <si>
    <t xml:space="preserve">HA-040</t>
  </si>
  <si>
    <t xml:space="preserve">HA Kairo Marquis</t>
  </si>
  <si>
    <t xml:space="preserve">Kairo</t>
  </si>
  <si>
    <t xml:space="preserve">Belle Rose AM</t>
  </si>
  <si>
    <t xml:space="preserve">ScoreID</t>
  </si>
  <si>
    <t xml:space="preserve">Judge</t>
  </si>
  <si>
    <t xml:space="preserve">TotalScore</t>
  </si>
  <si>
    <t xml:space="preserve">JudgeComments</t>
  </si>
  <si>
    <t xml:space="preserve">SC-0001</t>
  </si>
  <si>
    <t xml:space="preserve">Judge A</t>
  </si>
  <si>
    <t xml:space="preserve">Solid score pattern; useful for bloodline comparison.</t>
  </si>
  <si>
    <t xml:space="preserve">SC-0002</t>
  </si>
  <si>
    <t xml:space="preserve">Judge B</t>
  </si>
  <si>
    <t xml:space="preserve">Shows promise across multiple halter traits.</t>
  </si>
  <si>
    <t xml:space="preserve">SC-0003</t>
  </si>
  <si>
    <t xml:space="preserve">Judge C</t>
  </si>
  <si>
    <t xml:space="preserve">Good quality; monitor consistency across traits.</t>
  </si>
  <si>
    <t xml:space="preserve">SC-0004</t>
  </si>
  <si>
    <t xml:space="preserve">Strong presence with balanced strengths.</t>
  </si>
  <si>
    <t xml:space="preserve">SC-0005</t>
  </si>
  <si>
    <t xml:space="preserve">Attractive profile and useful movement.</t>
  </si>
  <si>
    <t xml:space="preserve">SC-0006</t>
  </si>
  <si>
    <t xml:space="preserve">SC-0007</t>
  </si>
  <si>
    <t xml:space="preserve">SC-0008</t>
  </si>
  <si>
    <t xml:space="preserve">SC-0009</t>
  </si>
  <si>
    <t xml:space="preserve">SC-0010</t>
  </si>
  <si>
    <t xml:space="preserve">SC-0011</t>
  </si>
  <si>
    <t xml:space="preserve">SC-0012</t>
  </si>
  <si>
    <t xml:space="preserve">Nice outline with room for development.</t>
  </si>
  <si>
    <t xml:space="preserve">SC-0013</t>
  </si>
  <si>
    <t xml:space="preserve">SC-0014</t>
  </si>
  <si>
    <t xml:space="preserve">SC-0015</t>
  </si>
  <si>
    <t xml:space="preserve">SC-0016</t>
  </si>
  <si>
    <t xml:space="preserve">SC-0017</t>
  </si>
  <si>
    <t xml:space="preserve">SC-0018</t>
  </si>
  <si>
    <t xml:space="preserve">SC-0019</t>
  </si>
  <si>
    <t xml:space="preserve">SC-0020</t>
  </si>
  <si>
    <t xml:space="preserve">SC-0021</t>
  </si>
  <si>
    <t xml:space="preserve">SC-0022</t>
  </si>
  <si>
    <t xml:space="preserve">SC-0023</t>
  </si>
  <si>
    <t xml:space="preserve">SC-0024</t>
  </si>
  <si>
    <t xml:space="preserve">SC-0025</t>
  </si>
  <si>
    <t xml:space="preserve">SC-0026</t>
  </si>
  <si>
    <t xml:space="preserve">SC-0027</t>
  </si>
  <si>
    <t xml:space="preserve">SC-0028</t>
  </si>
  <si>
    <t xml:space="preserve">SC-0029</t>
  </si>
  <si>
    <t xml:space="preserve">SC-0030</t>
  </si>
  <si>
    <t xml:space="preserve">SC-0031</t>
  </si>
  <si>
    <t xml:space="preserve">SC-0032</t>
  </si>
  <si>
    <t xml:space="preserve">SC-0033</t>
  </si>
  <si>
    <t xml:space="preserve">SC-0034</t>
  </si>
  <si>
    <t xml:space="preserve">SC-0035</t>
  </si>
  <si>
    <t xml:space="preserve">SC-0036</t>
  </si>
  <si>
    <t xml:space="preserve">SC-0037</t>
  </si>
  <si>
    <t xml:space="preserve">SC-0038</t>
  </si>
  <si>
    <t xml:space="preserve">SC-0039</t>
  </si>
  <si>
    <t xml:space="preserve">SC-0040</t>
  </si>
  <si>
    <t xml:space="preserve">SC-0041</t>
  </si>
  <si>
    <t xml:space="preserve">SC-0042</t>
  </si>
  <si>
    <t xml:space="preserve">SC-0043</t>
  </si>
  <si>
    <t xml:space="preserve">SC-0044</t>
  </si>
  <si>
    <t xml:space="preserve">SC-0045</t>
  </si>
  <si>
    <t xml:space="preserve">SC-0046</t>
  </si>
  <si>
    <t xml:space="preserve">SC-0047</t>
  </si>
  <si>
    <t xml:space="preserve">SC-0048</t>
  </si>
  <si>
    <t xml:space="preserve">SC-0049</t>
  </si>
  <si>
    <t xml:space="preserve">SC-0050</t>
  </si>
  <si>
    <t xml:space="preserve">SC-0051</t>
  </si>
  <si>
    <t xml:space="preserve">SC-0052</t>
  </si>
  <si>
    <t xml:space="preserve">SC-0053</t>
  </si>
  <si>
    <t xml:space="preserve">SC-0054</t>
  </si>
  <si>
    <t xml:space="preserve">SC-0055</t>
  </si>
  <si>
    <t xml:space="preserve">SC-0056</t>
  </si>
  <si>
    <t xml:space="preserve">SC-0057</t>
  </si>
  <si>
    <t xml:space="preserve">SC-0058</t>
  </si>
  <si>
    <t xml:space="preserve">SC-0059</t>
  </si>
  <si>
    <t xml:space="preserve">SC-0060</t>
  </si>
  <si>
    <t xml:space="preserve">SC-0061</t>
  </si>
  <si>
    <t xml:space="preserve">SC-0062</t>
  </si>
  <si>
    <t xml:space="preserve">SC-0063</t>
  </si>
  <si>
    <t xml:space="preserve">SC-0064</t>
  </si>
  <si>
    <t xml:space="preserve">SC-0065</t>
  </si>
  <si>
    <t xml:space="preserve">SC-0066</t>
  </si>
  <si>
    <t xml:space="preserve">SC-0067</t>
  </si>
  <si>
    <t xml:space="preserve">SC-0068</t>
  </si>
  <si>
    <t xml:space="preserve">SC-0069</t>
  </si>
  <si>
    <t xml:space="preserve">SC-0070</t>
  </si>
  <si>
    <t xml:space="preserve">SC-0071</t>
  </si>
  <si>
    <t xml:space="preserve">SC-0072</t>
  </si>
  <si>
    <t xml:space="preserve">SC-0073</t>
  </si>
  <si>
    <t xml:space="preserve">SC-0074</t>
  </si>
  <si>
    <t xml:space="preserve">SC-0075</t>
  </si>
  <si>
    <t xml:space="preserve">SC-0076</t>
  </si>
  <si>
    <t xml:space="preserve">SC-0077</t>
  </si>
  <si>
    <t xml:space="preserve">SC-0078</t>
  </si>
  <si>
    <t xml:space="preserve">SC-0079</t>
  </si>
  <si>
    <t xml:space="preserve">SC-0080</t>
  </si>
  <si>
    <t xml:space="preserve">SC-0081</t>
  </si>
  <si>
    <t xml:space="preserve">SC-0082</t>
  </si>
  <si>
    <t xml:space="preserve">SC-0083</t>
  </si>
  <si>
    <t xml:space="preserve">SC-0084</t>
  </si>
  <si>
    <t xml:space="preserve">SC-0085</t>
  </si>
  <si>
    <t xml:space="preserve">SC-0086</t>
  </si>
  <si>
    <t xml:space="preserve">SC-0087</t>
  </si>
  <si>
    <t xml:space="preserve">SC-0088</t>
  </si>
  <si>
    <t xml:space="preserve">SC-0089</t>
  </si>
  <si>
    <t xml:space="preserve">SC-0090</t>
  </si>
  <si>
    <t xml:space="preserve">SC-0091</t>
  </si>
  <si>
    <t xml:space="preserve">SC-0092</t>
  </si>
  <si>
    <t xml:space="preserve">SC-0093</t>
  </si>
  <si>
    <t xml:space="preserve">SC-0094</t>
  </si>
  <si>
    <t xml:space="preserve">SC-0095</t>
  </si>
  <si>
    <t xml:space="preserve">SC-0096</t>
  </si>
  <si>
    <t xml:space="preserve">SC-0097</t>
  </si>
  <si>
    <t xml:space="preserve">SC-0098</t>
  </si>
  <si>
    <t xml:space="preserve">SC-0099</t>
  </si>
  <si>
    <t xml:space="preserve">SC-0100</t>
  </si>
  <si>
    <t xml:space="preserve">SC-0101</t>
  </si>
  <si>
    <t xml:space="preserve">SC-0102</t>
  </si>
  <si>
    <t xml:space="preserve">SC-0103</t>
  </si>
  <si>
    <t xml:space="preserve">SC-0104</t>
  </si>
  <si>
    <t xml:space="preserve">SC-0105</t>
  </si>
  <si>
    <t xml:space="preserve">SC-0106</t>
  </si>
  <si>
    <t xml:space="preserve">SC-0107</t>
  </si>
  <si>
    <t xml:space="preserve">SC-0108</t>
  </si>
  <si>
    <t xml:space="preserve">SC-0109</t>
  </si>
  <si>
    <t xml:space="preserve">SC-0110</t>
  </si>
  <si>
    <t xml:space="preserve">SC-0111</t>
  </si>
  <si>
    <t xml:space="preserve">SC-0112</t>
  </si>
  <si>
    <t xml:space="preserve">SC-0113</t>
  </si>
  <si>
    <t xml:space="preserve">SC-0114</t>
  </si>
  <si>
    <t xml:space="preserve">SC-0115</t>
  </si>
  <si>
    <t xml:space="preserve">SC-0116</t>
  </si>
  <si>
    <t xml:space="preserve">SC-0117</t>
  </si>
  <si>
    <t xml:space="preserve">SC-0118</t>
  </si>
  <si>
    <t xml:space="preserve">SC-0119</t>
  </si>
  <si>
    <t xml:space="preserve">SC-0120</t>
  </si>
  <si>
    <t xml:space="preserve">ParentName</t>
  </si>
  <si>
    <t xml:space="preserve">ParentType</t>
  </si>
  <si>
    <t xml:space="preserve">PrimaryBloodline</t>
  </si>
  <si>
    <t xml:space="preserve">HypotheticalShowScore</t>
  </si>
  <si>
    <t xml:space="preserve">TypeInfluence</t>
  </si>
  <si>
    <t xml:space="preserve">MovementInfluence</t>
  </si>
  <si>
    <t xml:space="preserve">Offspring</t>
  </si>
  <si>
    <t xml:space="preserve">OffspringAvg</t>
  </si>
  <si>
    <t xml:space="preserve">OffspringVsParent</t>
  </si>
  <si>
    <t xml:space="preserve">Very Strong</t>
  </si>
  <si>
    <t xml:space="preserve">Strong</t>
  </si>
  <si>
    <t xml:space="preserve">Provided sire name; other score fields are synthetic for practice.</t>
  </si>
  <si>
    <t xml:space="preserve">Moderate</t>
  </si>
  <si>
    <t xml:space="preserve">Dam Sire</t>
  </si>
  <si>
    <t xml:space="preserve">Synthetic supporting pedigree field for practice.</t>
  </si>
  <si>
    <t xml:space="preserve">American</t>
  </si>
  <si>
    <t xml:space="preserve">Egyptian</t>
  </si>
  <si>
    <t xml:space="preserve">AvgTotal</t>
  </si>
  <si>
    <t xml:space="preserve">JudgeSpread</t>
  </si>
  <si>
    <t xml:space="preserve">UniqueRank</t>
  </si>
  <si>
    <t xml:space="preserve">ScoreTier</t>
  </si>
  <si>
    <t xml:space="preserve">MainStrength</t>
  </si>
  <si>
    <t xml:space="preserve">FocusArea</t>
  </si>
  <si>
    <t xml:space="preserve">SireScore</t>
  </si>
  <si>
    <t xml:space="preserve">DamSireScore</t>
  </si>
  <si>
    <t xml:space="preserve">MidParentScore</t>
  </si>
  <si>
    <t xml:space="preserve">RankInSireLine</t>
  </si>
  <si>
    <t xml:space="preserve">SireKey</t>
  </si>
  <si>
    <t xml:space="preserve">VsSireScore</t>
  </si>
  <si>
    <t xml:space="preserve">Bloodline analysis</t>
  </si>
  <si>
    <t xml:space="preserve">Offspring performance by sire line, dam sire, dam line and farm group. All figures are live formulas on Horse_Summary.</t>
  </si>
  <si>
    <t xml:space="preserve">1 · Sire line comparison</t>
  </si>
  <si>
    <t xml:space="preserve">Paternal line</t>
  </si>
  <si>
    <t xml:space="preserve">Std dev</t>
  </si>
  <si>
    <t xml:space="preserve">Min</t>
  </si>
  <si>
    <t xml:space="preserve">Max</t>
  </si>
  <si>
    <t xml:space="preserve">Sire show score</t>
  </si>
  <si>
    <t xml:space="preserve">Offspring vs sire</t>
  </si>
  <si>
    <t xml:space="preserve">Top horse</t>
  </si>
  <si>
    <t xml:space="preserve">All horses</t>
  </si>
  <si>
    <t xml:space="preserve">2 · Conformation trait averages by sire</t>
  </si>
  <si>
    <t xml:space="preserve">Weakest</t>
  </si>
  <si>
    <t xml:space="preserve">3 · Difference from all-horse average (blue = strength, red = weakness)</t>
  </si>
  <si>
    <t xml:space="preserve">Net (sum)</t>
  </si>
  <si>
    <t xml:space="preserve">4 · Dam-sire comparison</t>
  </si>
  <si>
    <t xml:space="preserve">Group</t>
  </si>
  <si>
    <t xml:space="preserve">Dam-sire show score</t>
  </si>
  <si>
    <t xml:space="preserve">Offspring vs score</t>
  </si>
  <si>
    <t xml:space="preserve">5 · Dam line comparison</t>
  </si>
  <si>
    <t xml:space="preserve">6 · Farm group comparison</t>
  </si>
  <si>
    <t xml:space="preserve">Note: farm-group rows rely on Horse_Profile and Horse_Summary sharing the same HorseID order.</t>
  </si>
  <si>
    <t xml:space="preserve">Parent performance vs offspring</t>
  </si>
  <si>
    <t xml:space="preserve">Do parent show scores predict how the offspring score? Correlations use horse-level averages from Horse_Summary.</t>
  </si>
  <si>
    <t xml:space="preserve">1 · Predictive strength</t>
  </si>
  <si>
    <t xml:space="preserve">Comparison</t>
  </si>
  <si>
    <t xml:space="preserve">Pairs (n)</t>
  </si>
  <si>
    <t xml:space="preserve">Correlation (r)</t>
  </si>
  <si>
    <t xml:space="preserve">R²</t>
  </si>
  <si>
    <t xml:space="preserve">Slope</t>
  </si>
  <si>
    <t xml:space="preserve">Reading</t>
  </si>
  <si>
    <t xml:space="preserve">Sire show score vs offspring average (per sire)</t>
  </si>
  <si>
    <t xml:space="preserve">Dam-sire show score vs horse score</t>
  </si>
  <si>
    <t xml:space="preserve">Mid-parent score vs horse score</t>
  </si>
  <si>
    <t xml:space="preserve">Mid-parent score = average of sire and dam-sire show scores. Slope = offspring points gained per +1 parent point.</t>
  </si>
  <si>
    <t xml:space="preserve">2 · Sire show score vs offspring</t>
  </si>
  <si>
    <t xml:space="preserve">Offspring avg</t>
  </si>
  <si>
    <t xml:space="preserve">Offspring rank</t>
  </si>
  <si>
    <t xml:space="preserve">Sire score rank</t>
  </si>
  <si>
    <t xml:space="preserve">3 · Horse-level parent scores (for the scatter chart)</t>
  </si>
  <si>
    <t xml:space="preserve">Registered name</t>
  </si>
  <si>
    <t xml:space="preserve">Sire score</t>
  </si>
  <si>
    <t xml:space="preserve">Dam-sire score</t>
  </si>
  <si>
    <t xml:space="preserve">Mid-parent</t>
  </si>
  <si>
    <t xml:space="preserve">Horse avg total</t>
  </si>
  <si>
    <t xml:space="preserve">Vs sire</t>
  </si>
  <si>
    <t xml:space="preserve">Age group &amp; sex analysis</t>
  </si>
  <si>
    <t xml:space="preserve">Average total score and horse count for each age group x sex combination.</t>
  </si>
  <si>
    <t xml:space="preserve">1 · Average total score</t>
  </si>
  <si>
    <t xml:space="preserve">All sexes</t>
  </si>
  <si>
    <t xml:space="preserve">All ages</t>
  </si>
  <si>
    <t xml:space="preserve">2 · Horse count</t>
  </si>
  <si>
    <t xml:space="preserve">Total</t>
  </si>
  <si>
    <t xml:space="preserve">3 · Trait averages by age group</t>
  </si>
  <si>
    <t xml:space="preserve">4 · Trait averages by sex</t>
  </si>
  <si>
    <t xml:space="preserve">Caution: cells hold 1–5 horses, and Horse_Profile flags sex labels that conflict with age (=COUNTIF(Horse_Profile!Q:Q,"Sex/age mismatch") horses). Treat sex-class gaps as indicative.</t>
  </si>
  <si>
    <t xml:space="preserve">Conformation strengths &amp; weaknesses</t>
  </si>
  <si>
    <t xml:space="preserve">Trait-level view across the herd. "Strongest/Weakest for" counts horses whose best/worst trait it is.</t>
  </si>
  <si>
    <t xml:space="preserve">Herd average</t>
  </si>
  <si>
    <t xml:space="preserve">Strongest for (horses)</t>
  </si>
  <si>
    <t xml:space="preserve">Weakest for (horses)</t>
  </si>
  <si>
    <t xml:space="preserve">Net</t>
  </si>
  <si>
    <t xml:space="preserve">Rank (avg)</t>
  </si>
  <si>
    <t xml:space="preserve">Horses needing attention per trait (trait average below threshold)</t>
  </si>
  <si>
    <t xml:space="preserve">Threshold</t>
  </si>
  <si>
    <t xml:space="preserve">← input: change to re-count</t>
  </si>
  <si>
    <t xml:space="preserve">Horses below threshold</t>
  </si>
  <si>
    <t xml:space="preserve">% of herd</t>
  </si>
  <si>
    <t xml:space="preserve">Trait correlation matrix (horse-level averages)</t>
  </si>
  <si>
    <t xml:space="preserve">Judge consistency</t>
  </si>
  <si>
    <t xml:space="preserve">Are the three judges scoring at the same level, and do they agree on which horses are best?</t>
  </si>
  <si>
    <t xml:space="preserve">Vs panel</t>
  </si>
  <si>
    <t xml:space="preserve">Rows scored</t>
  </si>
  <si>
    <t xml:space="preserve">Panel</t>
  </si>
  <si>
    <t xml:space="preserve">Difference from panel average, by trait</t>
  </si>
  <si>
    <t xml:space="preserve">Agreement between judges (total score)</t>
  </si>
  <si>
    <t xml:space="preserve">Pair</t>
  </si>
  <si>
    <t xml:space="preserve">Judge A vs Judge B</t>
  </si>
  <si>
    <t xml:space="preserve">Judge A vs Judge C</t>
  </si>
  <si>
    <t xml:space="preserve">Judge B vs Judge C</t>
  </si>
  <si>
    <t xml:space="preserve">Average judge spread per horse (pts)</t>
  </si>
  <si>
    <t xml:space="preserve">Largest judge spread (pts)</t>
  </si>
  <si>
    <t xml:space="preserve">Horse with largest spread</t>
  </si>
  <si>
    <t xml:space="preserve">Helper: each judge's total per horse</t>
  </si>
  <si>
    <t xml:space="preserve">Spread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</si>
</sst>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"/>
    <numFmt numFmtId="166" formatCode="0.0"/>
    <numFmt numFmtId="167" formatCode="@"/>
    <numFmt numFmtId="168" formatCode="0.0&quot; pts&quot;"/>
    <numFmt numFmtId="169" formatCode="0.00"/>
    <numFmt numFmtId="170" formatCode="0%"/>
    <numFmt numFmtId="171" formatCode="\+0.00;\-0.00;0.00"/>
    <numFmt numFmtId="172" formatCode="\+0.0;\-0.0;0"/>
    <numFmt numFmtId="173" formatCode="\+0.00;\-0.00"/>
    <numFmt numFmtId="174" formatCode="\+0;\-0;0"/>
    <numFmt numFmtId="175" formatCode="\+0.00;\-0.00;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A5F"/>
      <name val="Arial"/>
      <family val="0"/>
      <charset val="1"/>
    </font>
    <font>
      <i val="true"/>
      <sz val="10"/>
      <color rgb="FF52514E"/>
      <name val="Arial"/>
      <family val="0"/>
      <charset val="1"/>
    </font>
    <font>
      <b val="true"/>
      <sz val="9"/>
      <color rgb="FF52514E"/>
      <name val="Arial"/>
      <family val="0"/>
      <charset val="1"/>
    </font>
    <font>
      <b val="true"/>
      <sz val="18"/>
      <color rgb="FF1F3A5F"/>
      <name val="Arial"/>
      <family val="0"/>
      <charset val="1"/>
    </font>
    <font>
      <b val="true"/>
      <sz val="13"/>
      <color rgb="FF1F3A5F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theme="1"/>
      <name val="Arial"/>
      <family val="2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52514E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1F3A5F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i val="true"/>
      <sz val="9"/>
      <color rgb="FF8A8984"/>
      <name val="Arial"/>
      <family val="0"/>
      <charset val="1"/>
    </font>
    <font>
      <b val="true"/>
      <sz val="10"/>
      <color rgb="FF000000"/>
      <name val="Calibri"/>
      <family val="2"/>
    </font>
    <font>
      <sz val="10"/>
      <color rgb="FF008000"/>
      <name val="Arial"/>
      <family val="0"/>
      <charset val="1"/>
    </font>
    <font>
      <b val="true"/>
      <sz val="9"/>
      <color rgb="FFC0392B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8F1FC"/>
        <bgColor rgb="FFF6F8FB"/>
      </patternFill>
    </fill>
    <fill>
      <patternFill patternType="solid">
        <fgColor rgb="FF1F3A5F"/>
        <bgColor rgb="FF4A3AA7"/>
      </patternFill>
    </fill>
    <fill>
      <patternFill patternType="solid">
        <fgColor rgb="FFF6F8FB"/>
        <bgColor rgb="FFFFFFFF"/>
      </patternFill>
    </fill>
    <fill>
      <patternFill patternType="solid">
        <fgColor rgb="FFFFF2CC"/>
        <bgColor rgb="FFFDE2E1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medium">
        <color rgb="FF2A78D6"/>
      </top>
      <bottom/>
      <diagonal/>
    </border>
    <border diagonalUp="false" diagonalDown="false">
      <left style="thin">
        <color rgb="FFD5DCE6"/>
      </left>
      <right style="thin">
        <color rgb="FFD5DCE6"/>
      </right>
      <top style="thin">
        <color rgb="FFD5DCE6"/>
      </top>
      <bottom style="thin">
        <color rgb="FFD5DC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3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3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3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4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A78D6"/>
          <bgColor rgb="FF000000"/>
        </patternFill>
      </fill>
    </dxf>
    <dxf>
      <fill>
        <patternFill patternType="solid">
          <fgColor rgb="FF2C79D7"/>
          <bgColor rgb="FF000000"/>
        </patternFill>
      </fill>
    </dxf>
    <dxf>
      <fill>
        <patternFill patternType="solid">
          <fgColor rgb="FF2D7AD7"/>
          <bgColor rgb="FF000000"/>
        </patternFill>
      </fill>
    </dxf>
    <dxf>
      <fill>
        <patternFill patternType="solid">
          <fgColor rgb="FF357FD9"/>
          <bgColor rgb="FF000000"/>
        </patternFill>
      </fill>
    </dxf>
    <dxf>
      <fill>
        <patternFill patternType="solid">
          <fgColor rgb="FF3F86DB"/>
          <bgColor rgb="FF000000"/>
        </patternFill>
      </fill>
    </dxf>
    <dxf>
      <fill>
        <patternFill patternType="solid">
          <fgColor rgb="FF4287DB"/>
          <bgColor rgb="FF000000"/>
        </patternFill>
      </fill>
    </dxf>
    <dxf>
      <fill>
        <patternFill patternType="solid">
          <fgColor rgb="FF4388DB"/>
          <bgColor rgb="FF000000"/>
        </patternFill>
      </fill>
    </dxf>
    <dxf>
      <fill>
        <patternFill patternType="solid">
          <fgColor rgb="FF488BDC"/>
          <bgColor rgb="FF000000"/>
        </patternFill>
      </fill>
    </dxf>
    <dxf>
      <fill>
        <patternFill patternType="solid">
          <fgColor rgb="FF4E8FDE"/>
          <bgColor rgb="FF000000"/>
        </patternFill>
      </fill>
    </dxf>
    <dxf>
      <fill>
        <patternFill patternType="solid">
          <fgColor rgb="FF5090DE"/>
          <bgColor rgb="FF000000"/>
        </patternFill>
      </fill>
    </dxf>
    <dxf>
      <fill>
        <patternFill patternType="solid">
          <fgColor rgb="FF5694DF"/>
          <bgColor rgb="FF000000"/>
        </patternFill>
      </fill>
    </dxf>
    <dxf>
      <fill>
        <patternFill patternType="solid">
          <fgColor rgb="FF5C98E1"/>
          <bgColor rgb="FF000000"/>
        </patternFill>
      </fill>
    </dxf>
    <dxf>
      <fill>
        <patternFill patternType="solid">
          <fgColor rgb="FF629CE2"/>
          <bgColor rgb="FF000000"/>
        </patternFill>
      </fill>
    </dxf>
    <dxf>
      <fill>
        <patternFill patternType="solid">
          <fgColor rgb="FF68A0E3"/>
          <bgColor rgb="FF000000"/>
        </patternFill>
      </fill>
    </dxf>
    <dxf>
      <fill>
        <patternFill patternType="solid">
          <fgColor rgb="FF69A0E3"/>
          <bgColor rgb="FF000000"/>
        </patternFill>
      </fill>
    </dxf>
    <dxf>
      <fill>
        <patternFill patternType="solid">
          <fgColor rgb="FF6BA2E4"/>
          <bgColor rgb="FF000000"/>
        </patternFill>
      </fill>
    </dxf>
    <dxf>
      <fill>
        <patternFill patternType="solid">
          <fgColor rgb="FF6FA4E4"/>
          <bgColor rgb="FF000000"/>
        </patternFill>
      </fill>
    </dxf>
    <dxf>
      <fill>
        <patternFill patternType="solid">
          <fgColor rgb="FF70A4E5"/>
          <bgColor rgb="FF000000"/>
        </patternFill>
      </fill>
    </dxf>
    <dxf>
      <fill>
        <patternFill patternType="solid">
          <fgColor rgb="FF70A5E5"/>
          <bgColor rgb="FF000000"/>
        </patternFill>
      </fill>
    </dxf>
    <dxf>
      <fill>
        <patternFill patternType="solid">
          <fgColor rgb="FF74A7E5"/>
          <bgColor rgb="FF000000"/>
        </patternFill>
      </fill>
    </dxf>
    <dxf>
      <fill>
        <patternFill patternType="solid">
          <fgColor rgb="FF75A8E6"/>
          <bgColor rgb="FF000000"/>
        </patternFill>
      </fill>
    </dxf>
    <dxf>
      <fill>
        <patternFill patternType="solid">
          <fgColor rgb="FF78AAE6"/>
          <bgColor rgb="FF000000"/>
        </patternFill>
      </fill>
    </dxf>
    <dxf>
      <fill>
        <patternFill patternType="solid">
          <fgColor rgb="FF87B3E9"/>
          <bgColor rgb="FF000000"/>
        </patternFill>
      </fill>
    </dxf>
    <dxf>
      <fill>
        <patternFill patternType="solid">
          <fgColor rgb="FF89B4EA"/>
          <bgColor rgb="FF000000"/>
        </patternFill>
      </fill>
    </dxf>
    <dxf>
      <fill>
        <patternFill patternType="solid">
          <fgColor rgb="FF94BCEC"/>
          <bgColor rgb="FF000000"/>
        </patternFill>
      </fill>
    </dxf>
    <dxf>
      <fill>
        <patternFill patternType="solid">
          <fgColor rgb="FF9BC0ED"/>
          <bgColor rgb="FF000000"/>
        </patternFill>
      </fill>
    </dxf>
    <dxf>
      <fill>
        <patternFill patternType="solid">
          <fgColor rgb="FFA0C3EE"/>
          <bgColor rgb="FF000000"/>
        </patternFill>
      </fill>
    </dxf>
    <dxf>
      <fill>
        <patternFill patternType="solid">
          <fgColor rgb="FFA1C4EF"/>
          <bgColor rgb="FF000000"/>
        </patternFill>
      </fill>
    </dxf>
    <dxf>
      <fill>
        <patternFill patternType="solid">
          <fgColor rgb="FFA3C5EF"/>
          <bgColor rgb="FF000000"/>
        </patternFill>
      </fill>
    </dxf>
    <dxf>
      <fill>
        <patternFill patternType="solid">
          <fgColor rgb="FFABCAF1"/>
          <bgColor rgb="FF000000"/>
        </patternFill>
      </fill>
    </dxf>
    <dxf>
      <fill>
        <patternFill patternType="solid">
          <fgColor rgb="FFB4D0F2"/>
          <bgColor rgb="FF000000"/>
        </patternFill>
      </fill>
    </dxf>
    <dxf>
      <fill>
        <patternFill patternType="solid">
          <fgColor rgb="FFB9D3F3"/>
          <bgColor rgb="FF000000"/>
        </patternFill>
      </fill>
    </dxf>
    <dxf>
      <fill>
        <patternFill patternType="solid">
          <fgColor rgb="FFC8DDF6"/>
          <bgColor rgb="FF000000"/>
        </patternFill>
      </fill>
    </dxf>
    <dxf>
      <fill>
        <patternFill patternType="solid">
          <fgColor rgb="FFDEEBFB"/>
          <bgColor rgb="FF000000"/>
        </patternFill>
      </fill>
    </dxf>
    <dxf>
      <fill>
        <patternFill patternType="solid">
          <fgColor rgb="FFE0ECFB"/>
          <bgColor rgb="FF000000"/>
        </patternFill>
      </fill>
    </dxf>
    <dxf>
      <fill>
        <patternFill patternType="solid">
          <fgColor rgb="FFEAF2FD"/>
          <bgColor rgb="FF000000"/>
        </patternFill>
      </fill>
    </dxf>
    <dxf>
      <fill>
        <patternFill patternType="solid">
          <fgColor rgb="FF1C5CAB"/>
          <bgColor rgb="FF000000"/>
        </patternFill>
      </fill>
    </dxf>
    <dxf>
      <fill>
        <patternFill patternType="solid">
          <fgColor rgb="FFFDE2E1"/>
          <bgColor rgb="FF000000"/>
        </patternFill>
      </fill>
    </dxf>
    <dxf>
      <font>
        <name val="Arial"/>
        <charset val="1"/>
        <family val="0"/>
        <b val="1"/>
        <color rgb="FF1C5CAB"/>
      </font>
    </dxf>
    <dxf>
      <fill>
        <patternFill>
          <bgColor rgb="FFFDE2E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2A9"/>
      <rgbColor rgb="FF878787"/>
      <rgbColor rgb="FF9999FF"/>
      <rgbColor rgb="FFE34948"/>
      <rgbColor rgb="FFFFF2CC"/>
      <rgbColor rgb="FFE8F1FC"/>
      <rgbColor rgb="FF660066"/>
      <rgbColor rgb="FFE87BA4"/>
      <rgbColor rgb="FF1C5CAB"/>
      <rgbColor rgb="FFD5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6F8FB"/>
      <rgbColor rgb="FFD9D9D9"/>
      <rgbColor rgb="FFFFFF99"/>
      <rgbColor rgb="FF99CCFF"/>
      <rgbColor rgb="FFFF99CC"/>
      <rgbColor rgb="FFCC99FF"/>
      <rgbColor rgb="FFFDE2E1"/>
      <rgbColor rgb="FF2A78D6"/>
      <rgbColor rgb="FF33CCCC"/>
      <rgbColor rgb="FF99CC00"/>
      <rgbColor rgb="FFFFCC00"/>
      <rgbColor rgb="FFEDA100"/>
      <rgbColor rgb="FFEB6834"/>
      <rgbColor rgb="FF666699"/>
      <rgbColor rgb="FF8A8984"/>
      <rgbColor rgb="FF1F3A5F"/>
      <rgbColor rgb="FF1BAF7A"/>
      <rgbColor rgb="FF003300"/>
      <rgbColor rgb="FF333300"/>
      <rgbColor rgb="FFC0392B"/>
      <rgbColor rgb="FF993366"/>
      <rgbColor rgb="FF4A3AA7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offspring score by sire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Dashboard!O9</c:f>
              <c:strCache>
                <c:ptCount val="1"/>
                <c:pt idx="0">
                  <c:v>Avg total</c:v>
                </c:pt>
              </c:strCache>
            </c:strRef>
          </c:tx>
          <c:spPr>
            <a:solidFill>
              <a:srgbClr val="2a78d6"/>
            </a:solidFill>
            <a:ln w="9360">
              <a:solidFill>
                <a:srgbClr val="2a78d6"/>
              </a:solidFill>
              <a:round/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Dashboard!$L$10:$L$14</c:f>
              <c:strCache>
                <c:ptCount val="5"/>
                <c:pt idx="0">
                  <c:v>Pogrom</c:v>
                </c:pt>
                <c:pt idx="1">
                  <c:v>Cavali by Da Valentio</c:v>
                </c:pt>
                <c:pt idx="2">
                  <c:v>Abha Qatar</c:v>
                </c:pt>
                <c:pt idx="3">
                  <c:v>Van Gogh AM</c:v>
                </c:pt>
                <c:pt idx="4">
                  <c:v>Titan AS</c:v>
                </c:pt>
              </c:strCache>
            </c:strRef>
          </c:cat>
          <c:val>
            <c:numRef>
              <c:f>Dashboard!$O$10:$O$14</c:f>
              <c:numCache>
                <c:formatCode>0.00</c:formatCode>
                <c:ptCount val="5"/>
                <c:pt idx="0">
                  <c:v>112.306666666667</c:v>
                </c:pt>
                <c:pt idx="1">
                  <c:v>112.147619047619</c:v>
                </c:pt>
                <c:pt idx="2">
                  <c:v>108.954166666667</c:v>
                </c:pt>
                <c:pt idx="3">
                  <c:v>108.904166666667</c:v>
                </c:pt>
                <c:pt idx="4">
                  <c:v>106.104761904762</c:v>
                </c:pt>
              </c:numCache>
            </c:numRef>
          </c:val>
        </c:ser>
        <c:gapWidth val="150"/>
        <c:overlap val="0"/>
        <c:axId val="86131707"/>
        <c:axId val="60705753"/>
      </c:barChart>
      <c:catAx>
        <c:axId val="8613170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705753"/>
        <c:crosses val="autoZero"/>
        <c:auto val="1"/>
        <c:lblAlgn val="ctr"/>
        <c:lblOffset val="100"/>
        <c:noMultiLvlLbl val="0"/>
      </c:catAx>
      <c:valAx>
        <c:axId val="60705753"/>
        <c:scaling>
          <c:orientation val="minMax"/>
          <c:max val="115"/>
          <c:min val="100"/>
        </c:scaling>
        <c:delete val="0"/>
        <c:axPos val="l"/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1317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horses — average total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Dashboard!I9</c:f>
              <c:strCache>
                <c:ptCount val="1"/>
                <c:pt idx="0">
                  <c:v>Avg total</c:v>
                </c:pt>
              </c:strCache>
            </c:strRef>
          </c:tx>
          <c:spPr>
            <a:solidFill>
              <a:srgbClr val="1c5cab"/>
            </a:solidFill>
            <a:ln w="9360">
              <a:solidFill>
                <a:srgbClr val="1c5cab"/>
              </a:solidFill>
              <a:round/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Dashboard!$C$10:$C$19</c:f>
              <c:strCache>
                <c:ptCount val="10"/>
                <c:pt idx="0">
                  <c:v>HA Rami Royal Flame</c:v>
                </c:pt>
                <c:pt idx="1">
                  <c:v>HA Kairo Marquis</c:v>
                </c:pt>
                <c:pt idx="2">
                  <c:v>HA Rayan Dream</c:v>
                </c:pt>
                <c:pt idx="3">
                  <c:v>HA Amira Legacy</c:v>
                </c:pt>
                <c:pt idx="4">
                  <c:v>HA Rahma Al Jannat</c:v>
                </c:pt>
                <c:pt idx="5">
                  <c:v>HA Rashid Golden Star</c:v>
                </c:pt>
                <c:pt idx="6">
                  <c:v>HA Mira Valentino</c:v>
                </c:pt>
                <c:pt idx="7">
                  <c:v>HA Noura Al Jannat</c:v>
                </c:pt>
                <c:pt idx="8">
                  <c:v>HA Layla Dream</c:v>
                </c:pt>
                <c:pt idx="9">
                  <c:v>HA Nashira Royal Flame</c:v>
                </c:pt>
              </c:strCache>
            </c:strRef>
          </c:cat>
          <c:val>
            <c:numRef>
              <c:f>Dashboard!$I$10:$I$19</c:f>
              <c:numCache>
                <c:formatCode>0.00</c:formatCode>
                <c:ptCount val="10"/>
                <c:pt idx="0">
                  <c:v>114.333333333333</c:v>
                </c:pt>
                <c:pt idx="1">
                  <c:v>113.933333333333</c:v>
                </c:pt>
                <c:pt idx="2">
                  <c:v>113.866666666667</c:v>
                </c:pt>
                <c:pt idx="3">
                  <c:v>113.433333333333</c:v>
                </c:pt>
                <c:pt idx="4">
                  <c:v>112.933333333333</c:v>
                </c:pt>
                <c:pt idx="5">
                  <c:v>112.8</c:v>
                </c:pt>
                <c:pt idx="6">
                  <c:v>112.733333333333</c:v>
                </c:pt>
                <c:pt idx="7">
                  <c:v>112.466666666667</c:v>
                </c:pt>
                <c:pt idx="8">
                  <c:v>112.133333333333</c:v>
                </c:pt>
                <c:pt idx="9">
                  <c:v>112.133333333333</c:v>
                </c:pt>
              </c:numCache>
            </c:numRef>
          </c:val>
        </c:ser>
        <c:gapWidth val="150"/>
        <c:overlap val="0"/>
        <c:axId val="12675968"/>
        <c:axId val="9214582"/>
      </c:barChart>
      <c:catAx>
        <c:axId val="1267596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14582"/>
        <c:crosses val="autoZero"/>
        <c:auto val="1"/>
        <c:lblAlgn val="ctr"/>
        <c:lblOffset val="100"/>
        <c:noMultiLvlLbl val="0"/>
      </c:catAx>
      <c:valAx>
        <c:axId val="9214582"/>
        <c:scaling>
          <c:orientation val="minMax"/>
          <c:max val="115"/>
          <c:min val="108"/>
        </c:scaling>
        <c:delete val="0"/>
        <c:axPos val="l"/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67596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Selected horse vs herd, by trait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Dashboard!M25</c:f>
              <c:strCache>
                <c:ptCount val="1"/>
                <c:pt idx="0">
                  <c:v>Horse</c:v>
                </c:pt>
              </c:strCache>
            </c:strRef>
          </c:tx>
          <c:spPr>
            <a:solidFill>
              <a:srgbClr val="2a78d6"/>
            </a:solidFill>
            <a:ln w="9360">
              <a:solidFill>
                <a:srgbClr val="2a78d6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Dashboard!$L$26:$L$31</c:f>
              <c:strCache>
                <c:ptCount val="6"/>
                <c:pt idx="0">
                  <c:v>Type</c:v>
                </c:pt>
                <c:pt idx="1">
                  <c:v>Head_Neck</c:v>
                </c:pt>
                <c:pt idx="2">
                  <c:v>Body_Topline</c:v>
                </c:pt>
                <c:pt idx="3">
                  <c:v>Legs</c:v>
                </c:pt>
                <c:pt idx="4">
                  <c:v>Movement</c:v>
                </c:pt>
                <c:pt idx="5">
                  <c:v>Balance</c:v>
                </c:pt>
              </c:strCache>
            </c:strRef>
          </c:cat>
          <c:val>
            <c:numRef>
              <c:f>Dashboard!$M$26:$M$31</c:f>
              <c:numCache>
                <c:formatCode>0.00</c:formatCode>
                <c:ptCount val="6"/>
                <c:pt idx="0">
                  <c:v>18.5333333333333</c:v>
                </c:pt>
                <c:pt idx="1">
                  <c:v>19.0333333333333</c:v>
                </c:pt>
                <c:pt idx="2">
                  <c:v>19.1</c:v>
                </c:pt>
                <c:pt idx="3">
                  <c:v>18.0333333333333</c:v>
                </c:pt>
                <c:pt idx="4">
                  <c:v>18.9333333333333</c:v>
                </c:pt>
                <c:pt idx="5">
                  <c:v>19.8</c:v>
                </c:pt>
              </c:numCache>
            </c:numRef>
          </c:val>
        </c:ser>
        <c:ser>
          <c:idx val="1"/>
          <c:order val="1"/>
          <c:tx>
            <c:strRef>
              <c:f>Dashboard!N25</c:f>
              <c:strCache>
                <c:ptCount val="1"/>
                <c:pt idx="0">
                  <c:v>Herd avg</c:v>
                </c:pt>
              </c:strCache>
            </c:strRef>
          </c:tx>
          <c:spPr>
            <a:solidFill>
              <a:srgbClr val="b4b2a9"/>
            </a:solidFill>
            <a:ln w="9360">
              <a:solidFill>
                <a:srgbClr val="b4b2a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Dashboard!$L$26:$L$31</c:f>
              <c:strCache>
                <c:ptCount val="6"/>
                <c:pt idx="0">
                  <c:v>Type</c:v>
                </c:pt>
                <c:pt idx="1">
                  <c:v>Head_Neck</c:v>
                </c:pt>
                <c:pt idx="2">
                  <c:v>Body_Topline</c:v>
                </c:pt>
                <c:pt idx="3">
                  <c:v>Legs</c:v>
                </c:pt>
                <c:pt idx="4">
                  <c:v>Movement</c:v>
                </c:pt>
                <c:pt idx="5">
                  <c:v>Balance</c:v>
                </c:pt>
              </c:strCache>
            </c:strRef>
          </c:cat>
          <c:val>
            <c:numRef>
              <c:f>Dashboard!$N$26:$N$31</c:f>
              <c:numCache>
                <c:formatCode>0.00</c:formatCode>
                <c:ptCount val="6"/>
                <c:pt idx="0">
                  <c:v>18.44</c:v>
                </c:pt>
                <c:pt idx="1">
                  <c:v>18.355</c:v>
                </c:pt>
                <c:pt idx="2">
                  <c:v>18.3016666666667</c:v>
                </c:pt>
                <c:pt idx="3">
                  <c:v>18.125</c:v>
                </c:pt>
                <c:pt idx="4">
                  <c:v>18.33</c:v>
                </c:pt>
                <c:pt idx="5">
                  <c:v>18.2908333333333</c:v>
                </c:pt>
              </c:numCache>
            </c:numRef>
          </c:val>
        </c:ser>
        <c:gapWidth val="150"/>
        <c:overlap val="0"/>
        <c:axId val="51444650"/>
        <c:axId val="46516436"/>
      </c:barChart>
      <c:catAx>
        <c:axId val="514446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516436"/>
        <c:crosses val="autoZero"/>
        <c:auto val="1"/>
        <c:lblAlgn val="ctr"/>
        <c:lblOffset val="100"/>
        <c:noMultiLvlLbl val="0"/>
      </c:catAx>
      <c:valAx>
        <c:axId val="46516436"/>
        <c:scaling>
          <c:orientation val="minMax"/>
          <c:max val="20"/>
          <c:min val="1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44465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Strongest vs weakest trait (horse counts)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Conformation!F4</c:f>
              <c:strCache>
                <c:ptCount val="1"/>
                <c:pt idx="0">
                  <c:v>Strongest for (horses)</c:v>
                </c:pt>
              </c:strCache>
            </c:strRef>
          </c:tx>
          <c:spPr>
            <a:solidFill>
              <a:srgbClr val="2a78d6"/>
            </a:solidFill>
            <a:ln w="9360">
              <a:solidFill>
                <a:srgbClr val="2a78d6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Conformation!$A$5:$A$10</c:f>
              <c:strCache>
                <c:ptCount val="6"/>
                <c:pt idx="0">
                  <c:v>Type</c:v>
                </c:pt>
                <c:pt idx="1">
                  <c:v>Head_Neck</c:v>
                </c:pt>
                <c:pt idx="2">
                  <c:v>Body_Topline</c:v>
                </c:pt>
                <c:pt idx="3">
                  <c:v>Legs</c:v>
                </c:pt>
                <c:pt idx="4">
                  <c:v>Movement</c:v>
                </c:pt>
                <c:pt idx="5">
                  <c:v>Balance</c:v>
                </c:pt>
              </c:strCache>
            </c:strRef>
          </c:cat>
          <c:val>
            <c:numRef>
              <c:f>Conformation!$F$5:$F$10</c:f>
              <c:numCache>
                <c:formatCode>General</c:formatCode>
                <c:ptCount val="6"/>
                <c:pt idx="0">
                  <c:v>10</c:v>
                </c:pt>
                <c:pt idx="1">
                  <c:v>10</c:v>
                </c:pt>
                <c:pt idx="2">
                  <c:v>6</c:v>
                </c:pt>
                <c:pt idx="3">
                  <c:v>3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</c:ser>
        <c:ser>
          <c:idx val="1"/>
          <c:order val="1"/>
          <c:tx>
            <c:strRef>
              <c:f>Conformation!G4</c:f>
              <c:strCache>
                <c:ptCount val="1"/>
                <c:pt idx="0">
                  <c:v>Weakest for (horses)</c:v>
                </c:pt>
              </c:strCache>
            </c:strRef>
          </c:tx>
          <c:spPr>
            <a:solidFill>
              <a:srgbClr val="e34948"/>
            </a:solidFill>
            <a:ln w="9360">
              <a:solidFill>
                <a:srgbClr val="e34948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Conformation!$A$5:$A$10</c:f>
              <c:strCache>
                <c:ptCount val="6"/>
                <c:pt idx="0">
                  <c:v>Type</c:v>
                </c:pt>
                <c:pt idx="1">
                  <c:v>Head_Neck</c:v>
                </c:pt>
                <c:pt idx="2">
                  <c:v>Body_Topline</c:v>
                </c:pt>
                <c:pt idx="3">
                  <c:v>Legs</c:v>
                </c:pt>
                <c:pt idx="4">
                  <c:v>Movement</c:v>
                </c:pt>
                <c:pt idx="5">
                  <c:v>Balance</c:v>
                </c:pt>
              </c:strCache>
            </c:strRef>
          </c:cat>
          <c:val>
            <c:numRef>
              <c:f>Conformation!$G$5:$G$10</c:f>
              <c:numCache>
                <c:formatCode>General</c:formatCode>
                <c:ptCount val="6"/>
                <c:pt idx="0">
                  <c:v>4</c:v>
                </c:pt>
                <c:pt idx="1">
                  <c:v>9</c:v>
                </c:pt>
                <c:pt idx="2">
                  <c:v>6</c:v>
                </c:pt>
                <c:pt idx="3">
                  <c:v>12</c:v>
                </c:pt>
                <c:pt idx="4">
                  <c:v>5</c:v>
                </c:pt>
                <c:pt idx="5">
                  <c:v>4</c:v>
                </c:pt>
              </c:numCache>
            </c:numRef>
          </c:val>
        </c:ser>
        <c:gapWidth val="150"/>
        <c:overlap val="0"/>
        <c:axId val="48443060"/>
        <c:axId val="57429067"/>
      </c:barChart>
      <c:catAx>
        <c:axId val="4844306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429067"/>
        <c:crosses val="autoZero"/>
        <c:auto val="1"/>
        <c:lblAlgn val="ctr"/>
        <c:lblOffset val="100"/>
        <c:noMultiLvlLbl val="0"/>
      </c:catAx>
      <c:valAx>
        <c:axId val="574290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44306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offspring score by sire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Bloodline_Analysis!D5</c:f>
              <c:strCache>
                <c:ptCount val="1"/>
                <c:pt idx="0">
                  <c:v>Avg total</c:v>
                </c:pt>
              </c:strCache>
            </c:strRef>
          </c:tx>
          <c:spPr>
            <a:solidFill>
              <a:srgbClr val="2a78d6"/>
            </a:solidFill>
            <a:ln w="9360">
              <a:solidFill>
                <a:srgbClr val="2a78d6"/>
              </a:solidFill>
              <a:round/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Bloodline_Analysis!$A$6:$A$10</c:f>
              <c:strCache>
                <c:ptCount val="5"/>
                <c:pt idx="0">
                  <c:v>Pogrom</c:v>
                </c:pt>
                <c:pt idx="1">
                  <c:v>Cavali by Da Valentio</c:v>
                </c:pt>
                <c:pt idx="2">
                  <c:v>Abha Qatar</c:v>
                </c:pt>
                <c:pt idx="3">
                  <c:v>Van Gogh AM</c:v>
                </c:pt>
                <c:pt idx="4">
                  <c:v>Titan AS</c:v>
                </c:pt>
              </c:strCache>
            </c:strRef>
          </c:cat>
          <c:val>
            <c:numRef>
              <c:f>Bloodline_Analysis!$D$6:$D$10</c:f>
              <c:numCache>
                <c:formatCode>0.00</c:formatCode>
                <c:ptCount val="5"/>
                <c:pt idx="0">
                  <c:v>112.306666666667</c:v>
                </c:pt>
                <c:pt idx="1">
                  <c:v>112.147619047619</c:v>
                </c:pt>
                <c:pt idx="2">
                  <c:v>108.954166666667</c:v>
                </c:pt>
                <c:pt idx="3">
                  <c:v>108.904166666667</c:v>
                </c:pt>
                <c:pt idx="4">
                  <c:v>106.104761904762</c:v>
                </c:pt>
              </c:numCache>
            </c:numRef>
          </c:val>
        </c:ser>
        <c:gapWidth val="150"/>
        <c:overlap val="0"/>
        <c:axId val="45023692"/>
        <c:axId val="88632698"/>
      </c:barChart>
      <c:catAx>
        <c:axId val="4502369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632698"/>
        <c:crosses val="autoZero"/>
        <c:auto val="1"/>
        <c:lblAlgn val="ctr"/>
        <c:lblOffset val="100"/>
        <c:noMultiLvlLbl val="0"/>
      </c:catAx>
      <c:valAx>
        <c:axId val="88632698"/>
        <c:scaling>
          <c:orientation val="minMax"/>
          <c:max val="115"/>
          <c:min val="100"/>
        </c:scaling>
        <c:delete val="0"/>
        <c:axPos val="l"/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0236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Trait strength vs herd average, by sire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Bloodline_Analysis!B23</c:f>
              <c:strCache>
                <c:ptCount val="1"/>
                <c:pt idx="0">
                  <c:v>Type</c:v>
                </c:pt>
              </c:strCache>
            </c:strRef>
          </c:tx>
          <c:spPr>
            <a:solidFill>
              <a:srgbClr val="2a78d6"/>
            </a:solidFill>
            <a:ln w="9360">
              <a:solidFill>
                <a:srgbClr val="2a78d6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Bloodline_Analysis!$A$24:$A$28</c:f>
              <c:strCache>
                <c:ptCount val="5"/>
                <c:pt idx="0">
                  <c:v>Pogrom</c:v>
                </c:pt>
                <c:pt idx="1">
                  <c:v>Cavali by Da Valentio</c:v>
                </c:pt>
                <c:pt idx="2">
                  <c:v>Abha Qatar</c:v>
                </c:pt>
                <c:pt idx="3">
                  <c:v>Van Gogh AM</c:v>
                </c:pt>
                <c:pt idx="4">
                  <c:v>Titan AS</c:v>
                </c:pt>
              </c:strCache>
            </c:strRef>
          </c:cat>
          <c:val>
            <c:numRef>
              <c:f>Bloodline_Analysis!$B$24:$B$28</c:f>
              <c:numCache>
                <c:formatCode>\+0.00;\-0.00;0.00</c:formatCode>
                <c:ptCount val="5"/>
                <c:pt idx="0">
                  <c:v>0.403333333333332</c:v>
                </c:pt>
                <c:pt idx="1">
                  <c:v>0.59809523809524</c:v>
                </c:pt>
                <c:pt idx="2">
                  <c:v>-0.023333333333337</c:v>
                </c:pt>
                <c:pt idx="3">
                  <c:v>-0.194166666666668</c:v>
                </c:pt>
                <c:pt idx="4">
                  <c:v>-0.925714285714289</c:v>
                </c:pt>
              </c:numCache>
            </c:numRef>
          </c:val>
        </c:ser>
        <c:ser>
          <c:idx val="1"/>
          <c:order val="1"/>
          <c:tx>
            <c:strRef>
              <c:f>Bloodline_Analysis!C23</c:f>
              <c:strCache>
                <c:ptCount val="1"/>
                <c:pt idx="0">
                  <c:v>Head_Neck</c:v>
                </c:pt>
              </c:strCache>
            </c:strRef>
          </c:tx>
          <c:spPr>
            <a:solidFill>
              <a:srgbClr val="eb6834"/>
            </a:solidFill>
            <a:ln w="9360">
              <a:solidFill>
                <a:srgbClr val="eb6834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Bloodline_Analysis!$A$24:$A$28</c:f>
              <c:strCache>
                <c:ptCount val="5"/>
                <c:pt idx="0">
                  <c:v>Pogrom</c:v>
                </c:pt>
                <c:pt idx="1">
                  <c:v>Cavali by Da Valentio</c:v>
                </c:pt>
                <c:pt idx="2">
                  <c:v>Abha Qatar</c:v>
                </c:pt>
                <c:pt idx="3">
                  <c:v>Van Gogh AM</c:v>
                </c:pt>
                <c:pt idx="4">
                  <c:v>Titan AS</c:v>
                </c:pt>
              </c:strCache>
            </c:strRef>
          </c:cat>
          <c:val>
            <c:numRef>
              <c:f>Bloodline_Analysis!$C$24:$C$28</c:f>
              <c:numCache>
                <c:formatCode>\+0.00;\-0.00;0.00</c:formatCode>
                <c:ptCount val="5"/>
                <c:pt idx="0">
                  <c:v>-0.0616666666666674</c:v>
                </c:pt>
                <c:pt idx="1">
                  <c:v>0.559285714285714</c:v>
                </c:pt>
                <c:pt idx="2">
                  <c:v>0.386666666666667</c:v>
                </c:pt>
                <c:pt idx="3">
                  <c:v>0.245000000000001</c:v>
                </c:pt>
                <c:pt idx="4">
                  <c:v>-1.19309523809524</c:v>
                </c:pt>
              </c:numCache>
            </c:numRef>
          </c:val>
        </c:ser>
        <c:ser>
          <c:idx val="2"/>
          <c:order val="2"/>
          <c:tx>
            <c:strRef>
              <c:f>Bloodline_Analysis!D23</c:f>
              <c:strCache>
                <c:ptCount val="1"/>
                <c:pt idx="0">
                  <c:v>Body_Topline</c:v>
                </c:pt>
              </c:strCache>
            </c:strRef>
          </c:tx>
          <c:spPr>
            <a:solidFill>
              <a:srgbClr val="1baf7a"/>
            </a:solidFill>
            <a:ln w="9360">
              <a:solidFill>
                <a:srgbClr val="1baf7a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Bloodline_Analysis!$A$24:$A$28</c:f>
              <c:strCache>
                <c:ptCount val="5"/>
                <c:pt idx="0">
                  <c:v>Pogrom</c:v>
                </c:pt>
                <c:pt idx="1">
                  <c:v>Cavali by Da Valentio</c:v>
                </c:pt>
                <c:pt idx="2">
                  <c:v>Abha Qatar</c:v>
                </c:pt>
                <c:pt idx="3">
                  <c:v>Van Gogh AM</c:v>
                </c:pt>
                <c:pt idx="4">
                  <c:v>Titan AS</c:v>
                </c:pt>
              </c:strCache>
            </c:strRef>
          </c:cat>
          <c:val>
            <c:numRef>
              <c:f>Bloodline_Analysis!$D$24:$D$28</c:f>
              <c:numCache>
                <c:formatCode>\+0.00;\-0.00;0.00</c:formatCode>
                <c:ptCount val="5"/>
                <c:pt idx="0">
                  <c:v>0.701666666666664</c:v>
                </c:pt>
                <c:pt idx="1">
                  <c:v>-0.0350000000000037</c:v>
                </c:pt>
                <c:pt idx="2">
                  <c:v>-0.722500000000004</c:v>
                </c:pt>
                <c:pt idx="3">
                  <c:v>-0.118333333333336</c:v>
                </c:pt>
                <c:pt idx="4">
                  <c:v>-0.00642857142857523</c:v>
                </c:pt>
              </c:numCache>
            </c:numRef>
          </c:val>
        </c:ser>
        <c:ser>
          <c:idx val="3"/>
          <c:order val="3"/>
          <c:tx>
            <c:strRef>
              <c:f>Bloodline_Analysis!E23</c:f>
              <c:strCache>
                <c:ptCount val="1"/>
                <c:pt idx="0">
                  <c:v>Legs</c:v>
                </c:pt>
              </c:strCache>
            </c:strRef>
          </c:tx>
          <c:spPr>
            <a:solidFill>
              <a:srgbClr val="eda100"/>
            </a:solidFill>
            <a:ln w="9360">
              <a:solidFill>
                <a:srgbClr val="eda1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Bloodline_Analysis!$A$24:$A$28</c:f>
              <c:strCache>
                <c:ptCount val="5"/>
                <c:pt idx="0">
                  <c:v>Pogrom</c:v>
                </c:pt>
                <c:pt idx="1">
                  <c:v>Cavali by Da Valentio</c:v>
                </c:pt>
                <c:pt idx="2">
                  <c:v>Abha Qatar</c:v>
                </c:pt>
                <c:pt idx="3">
                  <c:v>Van Gogh AM</c:v>
                </c:pt>
                <c:pt idx="4">
                  <c:v>Titan AS</c:v>
                </c:pt>
              </c:strCache>
            </c:strRef>
          </c:cat>
          <c:val>
            <c:numRef>
              <c:f>Bloodline_Analysis!$E$24:$E$28</c:f>
              <c:numCache>
                <c:formatCode>\+0.00;\-0.00;0.00</c:formatCode>
                <c:ptCount val="5"/>
                <c:pt idx="0">
                  <c:v>0.328333333333333</c:v>
                </c:pt>
                <c:pt idx="1">
                  <c:v>0.355952380952381</c:v>
                </c:pt>
                <c:pt idx="2">
                  <c:v>-0.179166666666667</c:v>
                </c:pt>
                <c:pt idx="3">
                  <c:v>-0.304166666666667</c:v>
                </c:pt>
                <c:pt idx="4">
                  <c:v>-0.272619047619049</c:v>
                </c:pt>
              </c:numCache>
            </c:numRef>
          </c:val>
        </c:ser>
        <c:ser>
          <c:idx val="4"/>
          <c:order val="4"/>
          <c:tx>
            <c:strRef>
              <c:f>Bloodline_Analysis!F23</c:f>
              <c:strCache>
                <c:ptCount val="1"/>
                <c:pt idx="0">
                  <c:v>Movement</c:v>
                </c:pt>
              </c:strCache>
            </c:strRef>
          </c:tx>
          <c:spPr>
            <a:solidFill>
              <a:srgbClr val="e87ba4"/>
            </a:solidFill>
            <a:ln w="9360">
              <a:solidFill>
                <a:srgbClr val="e87ba4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Bloodline_Analysis!$A$24:$A$28</c:f>
              <c:strCache>
                <c:ptCount val="5"/>
                <c:pt idx="0">
                  <c:v>Pogrom</c:v>
                </c:pt>
                <c:pt idx="1">
                  <c:v>Cavali by Da Valentio</c:v>
                </c:pt>
                <c:pt idx="2">
                  <c:v>Abha Qatar</c:v>
                </c:pt>
                <c:pt idx="3">
                  <c:v>Van Gogh AM</c:v>
                </c:pt>
                <c:pt idx="4">
                  <c:v>Titan AS</c:v>
                </c:pt>
              </c:strCache>
            </c:strRef>
          </c:cat>
          <c:val>
            <c:numRef>
              <c:f>Bloodline_Analysis!$F$24:$F$28</c:f>
              <c:numCache>
                <c:formatCode>\+0.00;\-0.00;0.00</c:formatCode>
                <c:ptCount val="5"/>
                <c:pt idx="0">
                  <c:v>0.876666666666665</c:v>
                </c:pt>
                <c:pt idx="1">
                  <c:v>0.446190476190473</c:v>
                </c:pt>
                <c:pt idx="2">
                  <c:v>-0.200833333333335</c:v>
                </c:pt>
                <c:pt idx="3">
                  <c:v>-0.463333333333335</c:v>
                </c:pt>
                <c:pt idx="4">
                  <c:v>-0.939523809523813</c:v>
                </c:pt>
              </c:numCache>
            </c:numRef>
          </c:val>
        </c:ser>
        <c:ser>
          <c:idx val="5"/>
          <c:order val="5"/>
          <c:tx>
            <c:strRef>
              <c:f>Bloodline_Analysis!G23</c:f>
              <c:strCache>
                <c:ptCount val="1"/>
                <c:pt idx="0">
                  <c:v>Balance</c:v>
                </c:pt>
              </c:strCache>
            </c:strRef>
          </c:tx>
          <c:spPr>
            <a:solidFill>
              <a:srgbClr val="4a3aa7"/>
            </a:solidFill>
            <a:ln w="9360">
              <a:solidFill>
                <a:srgbClr val="4a3aa7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Bloodline_Analysis!$A$24:$A$28</c:f>
              <c:strCache>
                <c:ptCount val="5"/>
                <c:pt idx="0">
                  <c:v>Pogrom</c:v>
                </c:pt>
                <c:pt idx="1">
                  <c:v>Cavali by Da Valentio</c:v>
                </c:pt>
                <c:pt idx="2">
                  <c:v>Abha Qatar</c:v>
                </c:pt>
                <c:pt idx="3">
                  <c:v>Van Gogh AM</c:v>
                </c:pt>
                <c:pt idx="4">
                  <c:v>Titan AS</c:v>
                </c:pt>
              </c:strCache>
            </c:strRef>
          </c:cat>
          <c:val>
            <c:numRef>
              <c:f>Bloodline_Analysis!$G$24:$G$28</c:f>
              <c:numCache>
                <c:formatCode>\+0.00;\-0.00;0.00</c:formatCode>
                <c:ptCount val="5"/>
                <c:pt idx="0">
                  <c:v>0.215833333333336</c:v>
                </c:pt>
                <c:pt idx="1">
                  <c:v>0.380595238095239</c:v>
                </c:pt>
                <c:pt idx="2">
                  <c:v>-0.149166666666666</c:v>
                </c:pt>
                <c:pt idx="3">
                  <c:v>-0.103333333333332</c:v>
                </c:pt>
                <c:pt idx="4">
                  <c:v>-0.400357142857143</c:v>
                </c:pt>
              </c:numCache>
            </c:numRef>
          </c:val>
        </c:ser>
        <c:gapWidth val="150"/>
        <c:overlap val="0"/>
        <c:axId val="97646826"/>
        <c:axId val="11187565"/>
      </c:barChart>
      <c:catAx>
        <c:axId val="976468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187565"/>
        <c:crosses val="autoZero"/>
        <c:auto val="1"/>
        <c:lblAlgn val="ctr"/>
        <c:lblOffset val="100"/>
        <c:noMultiLvlLbl val="0"/>
      </c:catAx>
      <c:valAx>
        <c:axId val="111875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Points vs average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+0.0;\-0.0;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64682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Mid-parent score vs horse score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"Horses"</c:f>
              <c:strCache>
                <c:ptCount val="1"/>
                <c:pt idx="0">
                  <c:v>Horses</c:v>
                </c:pt>
              </c:strCache>
            </c:strRef>
          </c:tx>
          <c:spPr>
            <a:solidFill>
              <a:srgbClr val="2a78d6"/>
            </a:solidFill>
            <a:ln w="47520">
              <a:noFill/>
            </a:ln>
          </c:spPr>
          <c:marker>
            <c:symbol val="circle"/>
            <c:size val="7"/>
            <c:spPr>
              <a:solidFill>
                <a:srgbClr val="2a78d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Parent_Performance!$E$22:$E$61</c:f>
              <c:numCache>
                <c:formatCode>0.00</c:formatCode>
                <c:ptCount val="40"/>
                <c:pt idx="0">
                  <c:v>109.6</c:v>
                </c:pt>
                <c:pt idx="1">
                  <c:v>109.95</c:v>
                </c:pt>
                <c:pt idx="2">
                  <c:v>109.85</c:v>
                </c:pt>
                <c:pt idx="3">
                  <c:v>112.15</c:v>
                </c:pt>
                <c:pt idx="4">
                  <c:v>109.1</c:v>
                </c:pt>
                <c:pt idx="5">
                  <c:v>109.65</c:v>
                </c:pt>
                <c:pt idx="6">
                  <c:v>107.95</c:v>
                </c:pt>
                <c:pt idx="7">
                  <c:v>109.7</c:v>
                </c:pt>
                <c:pt idx="8">
                  <c:v>109.5</c:v>
                </c:pt>
                <c:pt idx="9">
                  <c:v>110.5</c:v>
                </c:pt>
                <c:pt idx="10">
                  <c:v>111.85</c:v>
                </c:pt>
                <c:pt idx="11">
                  <c:v>111.65</c:v>
                </c:pt>
                <c:pt idx="12">
                  <c:v>110.7</c:v>
                </c:pt>
                <c:pt idx="13">
                  <c:v>109</c:v>
                </c:pt>
                <c:pt idx="14">
                  <c:v>112.45</c:v>
                </c:pt>
                <c:pt idx="15">
                  <c:v>110.2</c:v>
                </c:pt>
                <c:pt idx="16">
                  <c:v>109.65</c:v>
                </c:pt>
                <c:pt idx="17">
                  <c:v>108.8</c:v>
                </c:pt>
                <c:pt idx="18">
                  <c:v>109.7</c:v>
                </c:pt>
                <c:pt idx="19">
                  <c:v>111.6</c:v>
                </c:pt>
                <c:pt idx="20">
                  <c:v>109.1</c:v>
                </c:pt>
                <c:pt idx="21">
                  <c:v>108.8</c:v>
                </c:pt>
                <c:pt idx="22">
                  <c:v>112.4</c:v>
                </c:pt>
                <c:pt idx="23">
                  <c:v>108.9</c:v>
                </c:pt>
                <c:pt idx="24">
                  <c:v>109.1</c:v>
                </c:pt>
                <c:pt idx="25">
                  <c:v>111.3</c:v>
                </c:pt>
                <c:pt idx="26">
                  <c:v>112.15</c:v>
                </c:pt>
                <c:pt idx="27">
                  <c:v>110.2</c:v>
                </c:pt>
                <c:pt idx="28">
                  <c:v>111.2</c:v>
                </c:pt>
                <c:pt idx="29">
                  <c:v>110.15</c:v>
                </c:pt>
                <c:pt idx="30">
                  <c:v>109.55</c:v>
                </c:pt>
                <c:pt idx="31">
                  <c:v>108.9</c:v>
                </c:pt>
                <c:pt idx="32">
                  <c:v>109.95</c:v>
                </c:pt>
                <c:pt idx="33">
                  <c:v>112.1</c:v>
                </c:pt>
                <c:pt idx="34">
                  <c:v>110.15</c:v>
                </c:pt>
                <c:pt idx="35">
                  <c:v>110.25</c:v>
                </c:pt>
                <c:pt idx="36">
                  <c:v>109.7</c:v>
                </c:pt>
                <c:pt idx="37">
                  <c:v>109.7</c:v>
                </c:pt>
                <c:pt idx="38">
                  <c:v>109.5</c:v>
                </c:pt>
                <c:pt idx="39">
                  <c:v>109.6</c:v>
                </c:pt>
              </c:numCache>
            </c:numRef>
          </c:xVal>
          <c:yVal>
            <c:numRef>
              <c:f>Parent_Performance!$F$22:$F$61</c:f>
              <c:numCache>
                <c:formatCode>0.00</c:formatCode>
                <c:ptCount val="40"/>
                <c:pt idx="0">
                  <c:v>113.433333333333</c:v>
                </c:pt>
                <c:pt idx="1">
                  <c:v>110.366666666667</c:v>
                </c:pt>
                <c:pt idx="2">
                  <c:v>107.733333333333</c:v>
                </c:pt>
                <c:pt idx="3">
                  <c:v>112.133333333333</c:v>
                </c:pt>
                <c:pt idx="4">
                  <c:v>108.5</c:v>
                </c:pt>
                <c:pt idx="5">
                  <c:v>111.433333333333</c:v>
                </c:pt>
                <c:pt idx="6">
                  <c:v>103.466666666667</c:v>
                </c:pt>
                <c:pt idx="7">
                  <c:v>105.8</c:v>
                </c:pt>
                <c:pt idx="8">
                  <c:v>113.866666666667</c:v>
                </c:pt>
                <c:pt idx="9">
                  <c:v>104.633333333333</c:v>
                </c:pt>
                <c:pt idx="10">
                  <c:v>108.133333333333</c:v>
                </c:pt>
                <c:pt idx="11">
                  <c:v>103.466666666667</c:v>
                </c:pt>
                <c:pt idx="12">
                  <c:v>106.833333333333</c:v>
                </c:pt>
                <c:pt idx="13">
                  <c:v>107.833333333333</c:v>
                </c:pt>
                <c:pt idx="14">
                  <c:v>109.1</c:v>
                </c:pt>
                <c:pt idx="15">
                  <c:v>112.033333333333</c:v>
                </c:pt>
                <c:pt idx="16">
                  <c:v>112.466666666667</c:v>
                </c:pt>
                <c:pt idx="17">
                  <c:v>104.533333333333</c:v>
                </c:pt>
                <c:pt idx="18">
                  <c:v>111.1</c:v>
                </c:pt>
                <c:pt idx="19">
                  <c:v>109.966666666667</c:v>
                </c:pt>
                <c:pt idx="20">
                  <c:v>110.633333333333</c:v>
                </c:pt>
                <c:pt idx="21">
                  <c:v>109.166666666667</c:v>
                </c:pt>
                <c:pt idx="22">
                  <c:v>112.8</c:v>
                </c:pt>
                <c:pt idx="23">
                  <c:v>110.166666666667</c:v>
                </c:pt>
                <c:pt idx="24">
                  <c:v>107.9</c:v>
                </c:pt>
                <c:pt idx="25">
                  <c:v>110.4</c:v>
                </c:pt>
                <c:pt idx="26">
                  <c:v>110.733333333333</c:v>
                </c:pt>
                <c:pt idx="27">
                  <c:v>112.133333333333</c:v>
                </c:pt>
                <c:pt idx="28">
                  <c:v>112.933333333333</c:v>
                </c:pt>
                <c:pt idx="29">
                  <c:v>110.433333333333</c:v>
                </c:pt>
                <c:pt idx="30">
                  <c:v>112.733333333333</c:v>
                </c:pt>
                <c:pt idx="31">
                  <c:v>107.3</c:v>
                </c:pt>
                <c:pt idx="32">
                  <c:v>111.733333333333</c:v>
                </c:pt>
                <c:pt idx="33">
                  <c:v>114.333333333333</c:v>
                </c:pt>
                <c:pt idx="34">
                  <c:v>111.4</c:v>
                </c:pt>
                <c:pt idx="35">
                  <c:v>110.8</c:v>
                </c:pt>
                <c:pt idx="36">
                  <c:v>106.566666666667</c:v>
                </c:pt>
                <c:pt idx="37">
                  <c:v>110.133333333333</c:v>
                </c:pt>
                <c:pt idx="38">
                  <c:v>110.633333333333</c:v>
                </c:pt>
                <c:pt idx="39">
                  <c:v>113.933333333333</c:v>
                </c:pt>
              </c:numCache>
            </c:numRef>
          </c:yVal>
          <c:smooth val="1"/>
        </c:ser>
        <c:axId val="9354472"/>
        <c:axId val="26633166"/>
      </c:scatterChart>
      <c:valAx>
        <c:axId val="9354472"/>
        <c:scaling>
          <c:orientation val="minMax"/>
          <c:max val="113"/>
          <c:min val="107.5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Mid-parent show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633166"/>
        <c:crosses val="autoZero"/>
        <c:crossBetween val="midCat"/>
      </c:valAx>
      <c:valAx>
        <c:axId val="26633166"/>
        <c:scaling>
          <c:orientation val="minMax"/>
          <c:max val="116"/>
          <c:min val="102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Horse average total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5447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Sire show score vs offspring average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"Sires"</c:f>
              <c:strCache>
                <c:ptCount val="1"/>
                <c:pt idx="0">
                  <c:v>Sires</c:v>
                </c:pt>
              </c:strCache>
            </c:strRef>
          </c:tx>
          <c:spPr>
            <a:solidFill>
              <a:srgbClr val="eb6834"/>
            </a:solidFill>
            <a:ln w="47520">
              <a:noFill/>
            </a:ln>
          </c:spPr>
          <c:marker>
            <c:symbol val="diamond"/>
            <c:size val="10"/>
            <c:spPr>
              <a:solidFill>
                <a:srgbClr val="eb683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Parent_Performance!$B$13:$B$17</c:f>
              <c:numCache>
                <c:formatCode>0.0</c:formatCode>
                <c:ptCount val="5"/>
                <c:pt idx="0">
                  <c:v>112.7</c:v>
                </c:pt>
                <c:pt idx="1">
                  <c:v>112.8</c:v>
                </c:pt>
                <c:pt idx="2">
                  <c:v>112.9</c:v>
                </c:pt>
                <c:pt idx="3">
                  <c:v>111.7</c:v>
                </c:pt>
                <c:pt idx="4">
                  <c:v>111.3</c:v>
                </c:pt>
              </c:numCache>
            </c:numRef>
          </c:xVal>
          <c:yVal>
            <c:numRef>
              <c:f>Parent_Performance!$C$13:$C$17</c:f>
              <c:numCache>
                <c:formatCode>0.00</c:formatCode>
                <c:ptCount val="5"/>
                <c:pt idx="0">
                  <c:v>112.306666666667</c:v>
                </c:pt>
                <c:pt idx="1">
                  <c:v>112.147619047619</c:v>
                </c:pt>
                <c:pt idx="2">
                  <c:v>108.954166666667</c:v>
                </c:pt>
                <c:pt idx="3">
                  <c:v>108.904166666667</c:v>
                </c:pt>
                <c:pt idx="4">
                  <c:v>106.104761904762</c:v>
                </c:pt>
              </c:numCache>
            </c:numRef>
          </c:yVal>
          <c:smooth val="1"/>
        </c:ser>
        <c:axId val="73547635"/>
        <c:axId val="8939695"/>
      </c:scatterChart>
      <c:valAx>
        <c:axId val="73547635"/>
        <c:scaling>
          <c:orientation val="minMax"/>
          <c:max val="113.5"/>
          <c:min val="111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Sire show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39695"/>
        <c:crosses val="autoZero"/>
        <c:crossBetween val="midCat"/>
      </c:valAx>
      <c:valAx>
        <c:axId val="8939695"/>
        <c:scaling>
          <c:orientation val="minMax"/>
          <c:max val="114"/>
          <c:min val="104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Offspring average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54763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total by age group and sex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Age_Sex!B5</c:f>
              <c:strCache>
                <c:ptCount val="1"/>
                <c:pt idx="0">
                  <c:v>Colt</c:v>
                </c:pt>
              </c:strCache>
            </c:strRef>
          </c:tx>
          <c:spPr>
            <a:solidFill>
              <a:srgbClr val="2a78d6"/>
            </a:solidFill>
            <a:ln w="9360">
              <a:solidFill>
                <a:srgbClr val="2a78d6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Age_Sex!$A$6:$A$8</c:f>
              <c:strCache>
                <c:ptCount val="3"/>
                <c:pt idx="0">
                  <c:v>Junior</c:v>
                </c:pt>
                <c:pt idx="1">
                  <c:v>Young Horse</c:v>
                </c:pt>
                <c:pt idx="2">
                  <c:v>Mature</c:v>
                </c:pt>
              </c:strCache>
            </c:strRef>
          </c:cat>
          <c:val>
            <c:numRef>
              <c:f>Age_Sex!$B$6:$B$8</c:f>
              <c:numCache>
                <c:formatCode>0.00</c:formatCode>
                <c:ptCount val="3"/>
                <c:pt idx="0">
                  <c:v>111.4</c:v>
                </c:pt>
                <c:pt idx="1">
                  <c:v>109.516666666667</c:v>
                </c:pt>
                <c:pt idx="2">
                  <c:v>111.958333333333</c:v>
                </c:pt>
              </c:numCache>
            </c:numRef>
          </c:val>
        </c:ser>
        <c:ser>
          <c:idx val="1"/>
          <c:order val="1"/>
          <c:tx>
            <c:strRef>
              <c:f>Age_Sex!C5</c:f>
              <c:strCache>
                <c:ptCount val="1"/>
                <c:pt idx="0">
                  <c:v>Filly</c:v>
                </c:pt>
              </c:strCache>
            </c:strRef>
          </c:tx>
          <c:spPr>
            <a:solidFill>
              <a:srgbClr val="eb6834"/>
            </a:solidFill>
            <a:ln w="9360">
              <a:solidFill>
                <a:srgbClr val="eb6834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Age_Sex!$A$6:$A$8</c:f>
              <c:strCache>
                <c:ptCount val="3"/>
                <c:pt idx="0">
                  <c:v>Junior</c:v>
                </c:pt>
                <c:pt idx="1">
                  <c:v>Young Horse</c:v>
                </c:pt>
                <c:pt idx="2">
                  <c:v>Mature</c:v>
                </c:pt>
              </c:strCache>
            </c:strRef>
          </c:cat>
          <c:val>
            <c:numRef>
              <c:f>Age_Sex!$C$6:$C$8</c:f>
              <c:numCache>
                <c:formatCode>0.00</c:formatCode>
                <c:ptCount val="3"/>
                <c:pt idx="0">
                  <c:v>107.6</c:v>
                </c:pt>
                <c:pt idx="1">
                  <c:v>112.366666666667</c:v>
                </c:pt>
                <c:pt idx="2">
                  <c:v>110.622222222222</c:v>
                </c:pt>
              </c:numCache>
            </c:numRef>
          </c:val>
        </c:ser>
        <c:ser>
          <c:idx val="2"/>
          <c:order val="2"/>
          <c:tx>
            <c:strRef>
              <c:f>Age_Sex!D5</c:f>
              <c:strCache>
                <c:ptCount val="1"/>
                <c:pt idx="0">
                  <c:v>Gelding</c:v>
                </c:pt>
              </c:strCache>
            </c:strRef>
          </c:tx>
          <c:spPr>
            <a:solidFill>
              <a:srgbClr val="1baf7a"/>
            </a:solidFill>
            <a:ln w="9360">
              <a:solidFill>
                <a:srgbClr val="1baf7a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Age_Sex!$A$6:$A$8</c:f>
              <c:strCache>
                <c:ptCount val="3"/>
                <c:pt idx="0">
                  <c:v>Junior</c:v>
                </c:pt>
                <c:pt idx="1">
                  <c:v>Young Horse</c:v>
                </c:pt>
                <c:pt idx="2">
                  <c:v>Mature</c:v>
                </c:pt>
              </c:strCache>
            </c:strRef>
          </c:cat>
          <c:val>
            <c:numRef>
              <c:f>Age_Sex!$D$6:$D$8</c:f>
              <c:numCache>
                <c:formatCode>0.00</c:formatCode>
                <c:ptCount val="3"/>
                <c:pt idx="0">
                  <c:v>107.1</c:v>
                </c:pt>
                <c:pt idx="1">
                  <c:v>108.45</c:v>
                </c:pt>
                <c:pt idx="2">
                  <c:v>110.755555555556</c:v>
                </c:pt>
              </c:numCache>
            </c:numRef>
          </c:val>
        </c:ser>
        <c:ser>
          <c:idx val="3"/>
          <c:order val="3"/>
          <c:tx>
            <c:strRef>
              <c:f>Age_Sex!E5</c:f>
              <c:strCache>
                <c:ptCount val="1"/>
                <c:pt idx="0">
                  <c:v>Mare</c:v>
                </c:pt>
              </c:strCache>
            </c:strRef>
          </c:tx>
          <c:spPr>
            <a:solidFill>
              <a:srgbClr val="eda100"/>
            </a:solidFill>
            <a:ln w="9360">
              <a:solidFill>
                <a:srgbClr val="eda1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Age_Sex!$A$6:$A$8</c:f>
              <c:strCache>
                <c:ptCount val="3"/>
                <c:pt idx="0">
                  <c:v>Junior</c:v>
                </c:pt>
                <c:pt idx="1">
                  <c:v>Young Horse</c:v>
                </c:pt>
                <c:pt idx="2">
                  <c:v>Mature</c:v>
                </c:pt>
              </c:strCache>
            </c:strRef>
          </c:cat>
          <c:val>
            <c:numRef>
              <c:f>Age_Sex!$E$6:$E$8</c:f>
              <c:numCache>
                <c:formatCode>0.00</c:formatCode>
                <c:ptCount val="3"/>
                <c:pt idx="0">
                  <c:v>105.755555555556</c:v>
                </c:pt>
                <c:pt idx="1">
                  <c:v>111.383333333333</c:v>
                </c:pt>
                <c:pt idx="2">
                  <c:v>109.911111111111</c:v>
                </c:pt>
              </c:numCache>
            </c:numRef>
          </c:val>
        </c:ser>
        <c:ser>
          <c:idx val="4"/>
          <c:order val="4"/>
          <c:tx>
            <c:strRef>
              <c:f>Age_Sex!F5</c:f>
              <c:strCache>
                <c:ptCount val="1"/>
                <c:pt idx="0">
                  <c:v>Stallion</c:v>
                </c:pt>
              </c:strCache>
            </c:strRef>
          </c:tx>
          <c:spPr>
            <a:solidFill>
              <a:srgbClr val="e87ba4"/>
            </a:solidFill>
            <a:ln w="9360">
              <a:solidFill>
                <a:srgbClr val="e87ba4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Age_Sex!$A$6:$A$8</c:f>
              <c:strCache>
                <c:ptCount val="3"/>
                <c:pt idx="0">
                  <c:v>Junior</c:v>
                </c:pt>
                <c:pt idx="1">
                  <c:v>Young Horse</c:v>
                </c:pt>
                <c:pt idx="2">
                  <c:v>Mature</c:v>
                </c:pt>
              </c:strCache>
            </c:strRef>
          </c:cat>
          <c:val>
            <c:numRef>
              <c:f>Age_Sex!$F$6:$F$8</c:f>
              <c:numCache>
                <c:formatCode>0.00</c:formatCode>
                <c:ptCount val="3"/>
                <c:pt idx="0">
                  <c:v>109.733333333333</c:v>
                </c:pt>
                <c:pt idx="1">
                  <c:v>108.5</c:v>
                </c:pt>
                <c:pt idx="2">
                  <c:v>110.426666666667</c:v>
                </c:pt>
              </c:numCache>
            </c:numRef>
          </c:val>
        </c:ser>
        <c:gapWidth val="150"/>
        <c:overlap val="0"/>
        <c:axId val="28075308"/>
        <c:axId val="39912203"/>
      </c:barChart>
      <c:catAx>
        <c:axId val="280753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912203"/>
        <c:crosses val="autoZero"/>
        <c:auto val="1"/>
        <c:lblAlgn val="ctr"/>
        <c:lblOffset val="100"/>
        <c:noMultiLvlLbl val="0"/>
      </c:catAx>
      <c:valAx>
        <c:axId val="39912203"/>
        <c:scaling>
          <c:orientation val="minMax"/>
          <c:max val="115"/>
          <c:min val="10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07530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Horses whose strongest / weakest trait is…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Conformation!F4</c:f>
              <c:strCache>
                <c:ptCount val="1"/>
                <c:pt idx="0">
                  <c:v>Strongest for (horses)</c:v>
                </c:pt>
              </c:strCache>
            </c:strRef>
          </c:tx>
          <c:spPr>
            <a:solidFill>
              <a:srgbClr val="2a78d6"/>
            </a:solidFill>
            <a:ln w="9360">
              <a:solidFill>
                <a:srgbClr val="2a78d6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Conformation!$A$5:$A$10</c:f>
              <c:strCache>
                <c:ptCount val="6"/>
                <c:pt idx="0">
                  <c:v>Type</c:v>
                </c:pt>
                <c:pt idx="1">
                  <c:v>Head_Neck</c:v>
                </c:pt>
                <c:pt idx="2">
                  <c:v>Body_Topline</c:v>
                </c:pt>
                <c:pt idx="3">
                  <c:v>Legs</c:v>
                </c:pt>
                <c:pt idx="4">
                  <c:v>Movement</c:v>
                </c:pt>
                <c:pt idx="5">
                  <c:v>Balance</c:v>
                </c:pt>
              </c:strCache>
            </c:strRef>
          </c:cat>
          <c:val>
            <c:numRef>
              <c:f>Conformation!$F$5:$F$10</c:f>
              <c:numCache>
                <c:formatCode>General</c:formatCode>
                <c:ptCount val="6"/>
                <c:pt idx="0">
                  <c:v>10</c:v>
                </c:pt>
                <c:pt idx="1">
                  <c:v>10</c:v>
                </c:pt>
                <c:pt idx="2">
                  <c:v>6</c:v>
                </c:pt>
                <c:pt idx="3">
                  <c:v>3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</c:ser>
        <c:ser>
          <c:idx val="1"/>
          <c:order val="1"/>
          <c:tx>
            <c:strRef>
              <c:f>Conformation!G4</c:f>
              <c:strCache>
                <c:ptCount val="1"/>
                <c:pt idx="0">
                  <c:v>Weakest for (horses)</c:v>
                </c:pt>
              </c:strCache>
            </c:strRef>
          </c:tx>
          <c:spPr>
            <a:solidFill>
              <a:srgbClr val="e34948"/>
            </a:solidFill>
            <a:ln w="9360">
              <a:solidFill>
                <a:srgbClr val="e34948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Conformation!$A$5:$A$10</c:f>
              <c:strCache>
                <c:ptCount val="6"/>
                <c:pt idx="0">
                  <c:v>Type</c:v>
                </c:pt>
                <c:pt idx="1">
                  <c:v>Head_Neck</c:v>
                </c:pt>
                <c:pt idx="2">
                  <c:v>Body_Topline</c:v>
                </c:pt>
                <c:pt idx="3">
                  <c:v>Legs</c:v>
                </c:pt>
                <c:pt idx="4">
                  <c:v>Movement</c:v>
                </c:pt>
                <c:pt idx="5">
                  <c:v>Balance</c:v>
                </c:pt>
              </c:strCache>
            </c:strRef>
          </c:cat>
          <c:val>
            <c:numRef>
              <c:f>Conformation!$G$5:$G$10</c:f>
              <c:numCache>
                <c:formatCode>General</c:formatCode>
                <c:ptCount val="6"/>
                <c:pt idx="0">
                  <c:v>4</c:v>
                </c:pt>
                <c:pt idx="1">
                  <c:v>9</c:v>
                </c:pt>
                <c:pt idx="2">
                  <c:v>6</c:v>
                </c:pt>
                <c:pt idx="3">
                  <c:v>12</c:v>
                </c:pt>
                <c:pt idx="4">
                  <c:v>5</c:v>
                </c:pt>
                <c:pt idx="5">
                  <c:v>4</c:v>
                </c:pt>
              </c:numCache>
            </c:numRef>
          </c:val>
        </c:ser>
        <c:gapWidth val="150"/>
        <c:overlap val="0"/>
        <c:axId val="67504777"/>
        <c:axId val="98369496"/>
      </c:barChart>
      <c:catAx>
        <c:axId val="6750477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369496"/>
        <c:crosses val="autoZero"/>
        <c:auto val="1"/>
        <c:lblAlgn val="ctr"/>
        <c:lblOffset val="100"/>
        <c:noMultiLvlLbl val="0"/>
      </c:catAx>
      <c:valAx>
        <c:axId val="983694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50477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Judge scoring vs panel, by trait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Judge_Analysis!B12</c:f>
              <c:strCache>
                <c:ptCount val="1"/>
                <c:pt idx="0">
                  <c:v>Type</c:v>
                </c:pt>
              </c:strCache>
            </c:strRef>
          </c:tx>
          <c:spPr>
            <a:solidFill>
              <a:srgbClr val="2a78d6"/>
            </a:solidFill>
            <a:ln w="9360">
              <a:solidFill>
                <a:srgbClr val="2a78d6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Judge_Analysis!$A$13:$A$15</c:f>
              <c:strCache>
                <c:ptCount val="3"/>
                <c:pt idx="0">
                  <c:v>Judge A</c:v>
                </c:pt>
                <c:pt idx="1">
                  <c:v>Judge B</c:v>
                </c:pt>
                <c:pt idx="2">
                  <c:v>Judge C</c:v>
                </c:pt>
              </c:strCache>
            </c:strRef>
          </c:cat>
          <c:val>
            <c:numRef>
              <c:f>Judge_Analysis!$B$13:$B$15</c:f>
              <c:numCache>
                <c:formatCode>\+0.00;\-0.00;0.00</c:formatCode>
                <c:ptCount val="3"/>
                <c:pt idx="0">
                  <c:v>0.272499999999997</c:v>
                </c:pt>
                <c:pt idx="1">
                  <c:v>-0.100000000000001</c:v>
                </c:pt>
                <c:pt idx="2">
                  <c:v>-0.172499999999999</c:v>
                </c:pt>
              </c:numCache>
            </c:numRef>
          </c:val>
        </c:ser>
        <c:ser>
          <c:idx val="1"/>
          <c:order val="1"/>
          <c:tx>
            <c:strRef>
              <c:f>Judge_Analysis!C12</c:f>
              <c:strCache>
                <c:ptCount val="1"/>
                <c:pt idx="0">
                  <c:v>Head_Neck</c:v>
                </c:pt>
              </c:strCache>
            </c:strRef>
          </c:tx>
          <c:spPr>
            <a:solidFill>
              <a:srgbClr val="eb6834"/>
            </a:solidFill>
            <a:ln w="9360">
              <a:solidFill>
                <a:srgbClr val="eb6834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Judge_Analysis!$A$13:$A$15</c:f>
              <c:strCache>
                <c:ptCount val="3"/>
                <c:pt idx="0">
                  <c:v>Judge A</c:v>
                </c:pt>
                <c:pt idx="1">
                  <c:v>Judge B</c:v>
                </c:pt>
                <c:pt idx="2">
                  <c:v>Judge C</c:v>
                </c:pt>
              </c:strCache>
            </c:strRef>
          </c:cat>
          <c:val>
            <c:numRef>
              <c:f>Judge_Analysis!$C$13:$C$15</c:f>
              <c:numCache>
                <c:formatCode>\+0.00;\-0.00;0.00</c:formatCode>
                <c:ptCount val="3"/>
                <c:pt idx="0">
                  <c:v>0.34</c:v>
                </c:pt>
                <c:pt idx="1">
                  <c:v>-0.0650000000000013</c:v>
                </c:pt>
                <c:pt idx="2">
                  <c:v>-0.274999999999999</c:v>
                </c:pt>
              </c:numCache>
            </c:numRef>
          </c:val>
        </c:ser>
        <c:ser>
          <c:idx val="2"/>
          <c:order val="2"/>
          <c:tx>
            <c:strRef>
              <c:f>Judge_Analysis!D12</c:f>
              <c:strCache>
                <c:ptCount val="1"/>
                <c:pt idx="0">
                  <c:v>Body_Topline</c:v>
                </c:pt>
              </c:strCache>
            </c:strRef>
          </c:tx>
          <c:spPr>
            <a:solidFill>
              <a:srgbClr val="1baf7a"/>
            </a:solidFill>
            <a:ln w="9360">
              <a:solidFill>
                <a:srgbClr val="1baf7a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Judge_Analysis!$A$13:$A$15</c:f>
              <c:strCache>
                <c:ptCount val="3"/>
                <c:pt idx="0">
                  <c:v>Judge A</c:v>
                </c:pt>
                <c:pt idx="1">
                  <c:v>Judge B</c:v>
                </c:pt>
                <c:pt idx="2">
                  <c:v>Judge C</c:v>
                </c:pt>
              </c:strCache>
            </c:strRef>
          </c:cat>
          <c:val>
            <c:numRef>
              <c:f>Judge_Analysis!$D$13:$D$15</c:f>
              <c:numCache>
                <c:formatCode>\+0.00;\-0.00;0.00</c:formatCode>
                <c:ptCount val="3"/>
                <c:pt idx="0">
                  <c:v>-0.00666666666666771</c:v>
                </c:pt>
                <c:pt idx="1">
                  <c:v>0.158333333333335</c:v>
                </c:pt>
                <c:pt idx="2">
                  <c:v>-0.151666666666667</c:v>
                </c:pt>
              </c:numCache>
            </c:numRef>
          </c:val>
        </c:ser>
        <c:ser>
          <c:idx val="3"/>
          <c:order val="3"/>
          <c:tx>
            <c:strRef>
              <c:f>Judge_Analysis!E12</c:f>
              <c:strCache>
                <c:ptCount val="1"/>
                <c:pt idx="0">
                  <c:v>Legs</c:v>
                </c:pt>
              </c:strCache>
            </c:strRef>
          </c:tx>
          <c:spPr>
            <a:solidFill>
              <a:srgbClr val="eda100"/>
            </a:solidFill>
            <a:ln w="9360">
              <a:solidFill>
                <a:srgbClr val="eda1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Judge_Analysis!$A$13:$A$15</c:f>
              <c:strCache>
                <c:ptCount val="3"/>
                <c:pt idx="0">
                  <c:v>Judge A</c:v>
                </c:pt>
                <c:pt idx="1">
                  <c:v>Judge B</c:v>
                </c:pt>
                <c:pt idx="2">
                  <c:v>Judge C</c:v>
                </c:pt>
              </c:strCache>
            </c:strRef>
          </c:cat>
          <c:val>
            <c:numRef>
              <c:f>Judge_Analysis!$E$13:$E$15</c:f>
              <c:numCache>
                <c:formatCode>\+0.00;\-0.00;0.00</c:formatCode>
                <c:ptCount val="3"/>
                <c:pt idx="0">
                  <c:v>0.205000000000002</c:v>
                </c:pt>
                <c:pt idx="1">
                  <c:v>-0.00750000000000028</c:v>
                </c:pt>
                <c:pt idx="2">
                  <c:v>-0.197499999999998</c:v>
                </c:pt>
              </c:numCache>
            </c:numRef>
          </c:val>
        </c:ser>
        <c:ser>
          <c:idx val="4"/>
          <c:order val="4"/>
          <c:tx>
            <c:strRef>
              <c:f>Judge_Analysis!F12</c:f>
              <c:strCache>
                <c:ptCount val="1"/>
                <c:pt idx="0">
                  <c:v>Movement</c:v>
                </c:pt>
              </c:strCache>
            </c:strRef>
          </c:tx>
          <c:spPr>
            <a:solidFill>
              <a:srgbClr val="e87ba4"/>
            </a:solidFill>
            <a:ln w="9360">
              <a:solidFill>
                <a:srgbClr val="e87ba4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Judge_Analysis!$A$13:$A$15</c:f>
              <c:strCache>
                <c:ptCount val="3"/>
                <c:pt idx="0">
                  <c:v>Judge A</c:v>
                </c:pt>
                <c:pt idx="1">
                  <c:v>Judge B</c:v>
                </c:pt>
                <c:pt idx="2">
                  <c:v>Judge C</c:v>
                </c:pt>
              </c:strCache>
            </c:strRef>
          </c:cat>
          <c:val>
            <c:numRef>
              <c:f>Judge_Analysis!$F$13:$F$15</c:f>
              <c:numCache>
                <c:formatCode>\+0.00;\-0.00;0.00</c:formatCode>
                <c:ptCount val="3"/>
                <c:pt idx="0">
                  <c:v>0.1325</c:v>
                </c:pt>
                <c:pt idx="1">
                  <c:v>-0.157499999999999</c:v>
                </c:pt>
                <c:pt idx="2">
                  <c:v>0.0250000000000021</c:v>
                </c:pt>
              </c:numCache>
            </c:numRef>
          </c:val>
        </c:ser>
        <c:ser>
          <c:idx val="5"/>
          <c:order val="5"/>
          <c:tx>
            <c:strRef>
              <c:f>Judge_Analysis!G12</c:f>
              <c:strCache>
                <c:ptCount val="1"/>
                <c:pt idx="0">
                  <c:v>Balance</c:v>
                </c:pt>
              </c:strCache>
            </c:strRef>
          </c:tx>
          <c:spPr>
            <a:solidFill>
              <a:srgbClr val="4a3aa7"/>
            </a:solidFill>
            <a:ln w="9360">
              <a:solidFill>
                <a:srgbClr val="4a3aa7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Judge_Analysis!$A$13:$A$15</c:f>
              <c:strCache>
                <c:ptCount val="3"/>
                <c:pt idx="0">
                  <c:v>Judge A</c:v>
                </c:pt>
                <c:pt idx="1">
                  <c:v>Judge B</c:v>
                </c:pt>
                <c:pt idx="2">
                  <c:v>Judge C</c:v>
                </c:pt>
              </c:strCache>
            </c:strRef>
          </c:cat>
          <c:val>
            <c:numRef>
              <c:f>Judge_Analysis!$G$13:$G$15</c:f>
              <c:numCache>
                <c:formatCode>\+0.00;\-0.00;0.00</c:formatCode>
                <c:ptCount val="3"/>
                <c:pt idx="0">
                  <c:v>0.101666666666667</c:v>
                </c:pt>
                <c:pt idx="1">
                  <c:v>-0.028333333333336</c:v>
                </c:pt>
                <c:pt idx="2">
                  <c:v>-0.0733333333333341</c:v>
                </c:pt>
              </c:numCache>
            </c:numRef>
          </c:val>
        </c:ser>
        <c:gapWidth val="150"/>
        <c:overlap val="0"/>
        <c:axId val="9397322"/>
        <c:axId val="186585"/>
      </c:barChart>
      <c:catAx>
        <c:axId val="93973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6585"/>
        <c:crosses val="autoZero"/>
        <c:auto val="1"/>
        <c:lblAlgn val="ctr"/>
        <c:lblOffset val="100"/>
        <c:noMultiLvlLbl val="0"/>
      </c:catAx>
      <c:valAx>
        <c:axId val="1865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+0.00;\-0.00;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9732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20</xdr:row>
      <xdr:rowOff>0</xdr:rowOff>
    </xdr:from>
    <xdr:to>
      <xdr:col>6</xdr:col>
      <xdr:colOff>458280</xdr:colOff>
      <xdr:row>33</xdr:row>
      <xdr:rowOff>42840</xdr:rowOff>
    </xdr:to>
    <xdr:graphicFrame>
      <xdr:nvGraphicFramePr>
        <xdr:cNvPr id="0" name="Chart 1"/>
        <xdr:cNvGraphicFramePr/>
      </xdr:nvGraphicFramePr>
      <xdr:xfrm>
        <a:off x="141120" y="401940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35</xdr:row>
      <xdr:rowOff>0</xdr:rowOff>
    </xdr:from>
    <xdr:to>
      <xdr:col>6</xdr:col>
      <xdr:colOff>458280</xdr:colOff>
      <xdr:row>48</xdr:row>
      <xdr:rowOff>43200</xdr:rowOff>
    </xdr:to>
    <xdr:graphicFrame>
      <xdr:nvGraphicFramePr>
        <xdr:cNvPr id="1" name="Chart 2"/>
        <xdr:cNvGraphicFramePr/>
      </xdr:nvGraphicFramePr>
      <xdr:xfrm>
        <a:off x="141120" y="687708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32</xdr:row>
      <xdr:rowOff>0</xdr:rowOff>
    </xdr:from>
    <xdr:to>
      <xdr:col>16</xdr:col>
      <xdr:colOff>458280</xdr:colOff>
      <xdr:row>45</xdr:row>
      <xdr:rowOff>42840</xdr:rowOff>
    </xdr:to>
    <xdr:graphicFrame>
      <xdr:nvGraphicFramePr>
        <xdr:cNvPr id="2" name="Chart 3"/>
        <xdr:cNvGraphicFramePr/>
      </xdr:nvGraphicFramePr>
      <xdr:xfrm>
        <a:off x="9304200" y="630540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47</xdr:row>
      <xdr:rowOff>0</xdr:rowOff>
    </xdr:from>
    <xdr:to>
      <xdr:col>16</xdr:col>
      <xdr:colOff>458280</xdr:colOff>
      <xdr:row>60</xdr:row>
      <xdr:rowOff>43200</xdr:rowOff>
    </xdr:to>
    <xdr:graphicFrame>
      <xdr:nvGraphicFramePr>
        <xdr:cNvPr id="3" name="Chart 4"/>
        <xdr:cNvGraphicFramePr/>
      </xdr:nvGraphicFramePr>
      <xdr:xfrm>
        <a:off x="9304200" y="916308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3</xdr:row>
      <xdr:rowOff>0</xdr:rowOff>
    </xdr:from>
    <xdr:to>
      <xdr:col>22</xdr:col>
      <xdr:colOff>507600</xdr:colOff>
      <xdr:row>15</xdr:row>
      <xdr:rowOff>189000</xdr:rowOff>
    </xdr:to>
    <xdr:graphicFrame>
      <xdr:nvGraphicFramePr>
        <xdr:cNvPr id="4" name="Chart 1"/>
        <xdr:cNvGraphicFramePr/>
      </xdr:nvGraphicFramePr>
      <xdr:xfrm>
        <a:off x="13721760" y="704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18</xdr:row>
      <xdr:rowOff>156240</xdr:rowOff>
    </xdr:from>
    <xdr:to>
      <xdr:col>24</xdr:col>
      <xdr:colOff>364680</xdr:colOff>
      <xdr:row>32</xdr:row>
      <xdr:rowOff>144000</xdr:rowOff>
    </xdr:to>
    <xdr:graphicFrame>
      <xdr:nvGraphicFramePr>
        <xdr:cNvPr id="5" name="Chart 2"/>
        <xdr:cNvGraphicFramePr/>
      </xdr:nvGraphicFramePr>
      <xdr:xfrm>
        <a:off x="13721760" y="39434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0</xdr:rowOff>
    </xdr:from>
    <xdr:to>
      <xdr:col>16</xdr:col>
      <xdr:colOff>507600</xdr:colOff>
      <xdr:row>18</xdr:row>
      <xdr:rowOff>22320</xdr:rowOff>
    </xdr:to>
    <xdr:graphicFrame>
      <xdr:nvGraphicFramePr>
        <xdr:cNvPr id="6" name="Chart 1"/>
        <xdr:cNvGraphicFramePr/>
      </xdr:nvGraphicFramePr>
      <xdr:xfrm>
        <a:off x="11043360" y="7048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20</xdr:row>
      <xdr:rowOff>0</xdr:rowOff>
    </xdr:from>
    <xdr:to>
      <xdr:col>16</xdr:col>
      <xdr:colOff>507600</xdr:colOff>
      <xdr:row>35</xdr:row>
      <xdr:rowOff>22320</xdr:rowOff>
    </xdr:to>
    <xdr:graphicFrame>
      <xdr:nvGraphicFramePr>
        <xdr:cNvPr id="7" name="Chart 2"/>
        <xdr:cNvGraphicFramePr/>
      </xdr:nvGraphicFramePr>
      <xdr:xfrm>
        <a:off x="11043360" y="394344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0</xdr:rowOff>
    </xdr:from>
    <xdr:to>
      <xdr:col>19</xdr:col>
      <xdr:colOff>4320</xdr:colOff>
      <xdr:row>18</xdr:row>
      <xdr:rowOff>22320</xdr:rowOff>
    </xdr:to>
    <xdr:graphicFrame>
      <xdr:nvGraphicFramePr>
        <xdr:cNvPr id="8" name="Chart 1"/>
        <xdr:cNvGraphicFramePr/>
      </xdr:nvGraphicFramePr>
      <xdr:xfrm>
        <a:off x="8153280" y="70488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3</xdr:row>
      <xdr:rowOff>0</xdr:rowOff>
    </xdr:from>
    <xdr:to>
      <xdr:col>19</xdr:col>
      <xdr:colOff>255960</xdr:colOff>
      <xdr:row>17</xdr:row>
      <xdr:rowOff>100440</xdr:rowOff>
    </xdr:to>
    <xdr:graphicFrame>
      <xdr:nvGraphicFramePr>
        <xdr:cNvPr id="9" name="Chart 1"/>
        <xdr:cNvGraphicFramePr/>
      </xdr:nvGraphicFramePr>
      <xdr:xfrm>
        <a:off x="9210600" y="704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3</xdr:row>
      <xdr:rowOff>0</xdr:rowOff>
    </xdr:from>
    <xdr:to>
      <xdr:col>21</xdr:col>
      <xdr:colOff>4680</xdr:colOff>
      <xdr:row>18</xdr:row>
      <xdr:rowOff>22320</xdr:rowOff>
    </xdr:to>
    <xdr:graphicFrame>
      <xdr:nvGraphicFramePr>
        <xdr:cNvPr id="10" name="Chart 1"/>
        <xdr:cNvGraphicFramePr/>
      </xdr:nvGraphicFramePr>
      <xdr:xfrm>
        <a:off x="11254680" y="70488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HorseProfile" displayName="tblHorseProfile" ref="A1:Q41" headerRowCount="1" totalsRowCount="0" totalsRowShown="0">
  <autoFilter ref="A1:Q41"/>
  <tableColumns count="17">
    <tableColumn id="1" name="HorseID"/>
    <tableColumn id="2" name="RegisteredName"/>
    <tableColumn id="3" name="BarnName"/>
    <tableColumn id="4" name="Sex"/>
    <tableColumn id="5" name="BirthYear"/>
    <tableColumn id="6" name="AgeGroup"/>
    <tableColumn id="7" name="Color"/>
    <tableColumn id="8" name="CountryOfFoaling"/>
    <tableColumn id="9" name="Sire"/>
    <tableColumn id="10" name="Dam"/>
    <tableColumn id="11" name="DamSire"/>
    <tableColumn id="12" name="PaternalLine"/>
    <tableColumn id="13" name="DamLine"/>
    <tableColumn id="14" name="FarmGroup"/>
    <tableColumn id="15" name="Notes"/>
    <tableColumn id="16" name="Age"/>
    <tableColumn id="17" name="DataFlag"/>
  </tableColumns>
</table>
</file>

<file path=xl/tables/table2.xml><?xml version="1.0" encoding="utf-8"?>
<table xmlns="http://schemas.openxmlformats.org/spreadsheetml/2006/main" id="2" name="tblHorseSummary" displayName="tblHorseSummary" ref="A1:AB41" headerRowCount="1" totalsRowCount="0" totalsRowShown="0">
  <autoFilter ref="A1:AB41"/>
  <tableColumns count="28">
    <tableColumn id="1" name="HorseID"/>
    <tableColumn id="2" name="RegisteredName"/>
    <tableColumn id="3" name="Sire"/>
    <tableColumn id="4" name="DamSire"/>
    <tableColumn id="5" name="Sex"/>
    <tableColumn id="6" name="AgeGroup"/>
    <tableColumn id="7" name="PaternalLine"/>
    <tableColumn id="8" name="DamLine"/>
    <tableColumn id="9" name="Type"/>
    <tableColumn id="10" name="Head_Neck"/>
    <tableColumn id="11" name="Body_Topline"/>
    <tableColumn id="12" name="Legs"/>
    <tableColumn id="13" name="Movement"/>
    <tableColumn id="14" name="Balance"/>
    <tableColumn id="15" name="AvgTotal"/>
    <tableColumn id="16" name="JudgeSpread"/>
    <tableColumn id="17" name="Rank"/>
    <tableColumn id="18" name="UniqueRank"/>
    <tableColumn id="19" name="ScoreTier"/>
    <tableColumn id="20" name="MainStrength"/>
    <tableColumn id="21" name="FocusArea"/>
    <tableColumn id="22" name="SireScore"/>
    <tableColumn id="23" name="DamSireScore"/>
    <tableColumn id="24" name="MidParentScore"/>
    <tableColumn id="25" name="RankInSireLine"/>
    <tableColumn id="26" name="SireKey"/>
    <tableColumn id="27" name="VsSireScore"/>
    <tableColumn id="28" name="DataFlag"/>
  </tableColumns>
</table>
</file>

<file path=xl/tables/table3.xml><?xml version="1.0" encoding="utf-8"?>
<table xmlns="http://schemas.openxmlformats.org/spreadsheetml/2006/main" id="3" name="tblJudgeScores" displayName="tblJudgeScores" ref="A1:L121" headerRowCount="1" totalsRowCount="0" totalsRowShown="0">
  <autoFilter ref="A1:L121"/>
  <tableColumns count="12">
    <tableColumn id="1" name="ScoreID"/>
    <tableColumn id="2" name="HorseID"/>
    <tableColumn id="3" name="RegisteredName"/>
    <tableColumn id="4" name="Judge"/>
    <tableColumn id="5" name="Type"/>
    <tableColumn id="6" name="Head_Neck"/>
    <tableColumn id="7" name="Body_Topline"/>
    <tableColumn id="8" name="Legs"/>
    <tableColumn id="9" name="Movement"/>
    <tableColumn id="10" name="Balance"/>
    <tableColumn id="11" name="TotalScore"/>
    <tableColumn id="12" name="JudgeComments"/>
  </tableColumns>
</table>
</file>

<file path=xl/tables/table4.xml><?xml version="1.0" encoding="utf-8"?>
<table xmlns="http://schemas.openxmlformats.org/spreadsheetml/2006/main" id="4" name="tblParents" displayName="tblParents" ref="A1:J16" headerRowCount="1" totalsRowCount="0" totalsRowShown="0">
  <autoFilter ref="A1:J16"/>
  <tableColumns count="10">
    <tableColumn id="1" name="ParentName"/>
    <tableColumn id="2" name="ParentType"/>
    <tableColumn id="3" name="PrimaryBloodline"/>
    <tableColumn id="4" name="HypotheticalShowScore"/>
    <tableColumn id="5" name="TypeInfluence"/>
    <tableColumn id="6" name="MovementInfluence"/>
    <tableColumn id="7" name="Notes"/>
    <tableColumn id="8" name="Offspring"/>
    <tableColumn id="9" name="OffspringAvg"/>
    <tableColumn id="10" name="OffspringVsPare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B1:S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9" min="2" style="0" width="13"/>
  </cols>
  <sheetData>
    <row r="1" customFormat="false" ht="31.5" hidden="false" customHeight="tru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true" outlineLevel="0" collapsed="false">
      <c r="B4" s="3" t="s">
        <v>2</v>
      </c>
      <c r="C4" s="3"/>
      <c r="D4" s="3"/>
      <c r="E4" s="3" t="s">
        <v>3</v>
      </c>
      <c r="F4" s="3"/>
      <c r="G4" s="3"/>
      <c r="H4" s="3" t="s">
        <v>4</v>
      </c>
      <c r="I4" s="3"/>
      <c r="J4" s="3"/>
      <c r="K4" s="3" t="s">
        <v>5</v>
      </c>
      <c r="L4" s="3"/>
      <c r="M4" s="3"/>
      <c r="N4" s="3" t="s">
        <v>6</v>
      </c>
      <c r="O4" s="3"/>
      <c r="P4" s="3"/>
      <c r="Q4" s="3" t="s">
        <v>7</v>
      </c>
      <c r="R4" s="3"/>
      <c r="S4" s="3"/>
    </row>
    <row r="5" customFormat="false" ht="15" hidden="false" customHeight="false" outlineLevel="0" collapsed="false">
      <c r="B5" s="4" t="n">
        <f aca="false">COUNTA(Horse_Summary!$A$2:$A$41)</f>
        <v>40</v>
      </c>
      <c r="C5" s="4"/>
      <c r="D5" s="4"/>
      <c r="E5" s="5" t="n">
        <f aca="false">AVERAGE(Horse_Summary!$O$2:$O$41)</f>
        <v>109.8425</v>
      </c>
      <c r="F5" s="5"/>
      <c r="G5" s="5"/>
      <c r="H5" s="4" t="n">
        <f aca="false">COUNTIF(Horse_Summary!$S$2:$S$41,"Elite")</f>
        <v>11</v>
      </c>
      <c r="I5" s="4"/>
      <c r="J5" s="4"/>
      <c r="K5" s="6" t="str">
        <f aca="false">INDEX(Bloodline_Analysis!$A$6:$A$10,MATCH(1,Bloodline_Analysis!$M$6:$M$10,0))</f>
        <v>Pogrom</v>
      </c>
      <c r="L5" s="6"/>
      <c r="M5" s="6"/>
      <c r="N5" s="6" t="str">
        <f aca="false">INDEX(Conformation!$A$5:$A$10,MATCH(MIN(Conformation!$B$5:$B$10),Conformation!$B$5:$B$10,0))</f>
        <v>Legs</v>
      </c>
      <c r="O5" s="6"/>
      <c r="P5" s="6"/>
      <c r="Q5" s="7" t="n">
        <f aca="false">AVERAGE(Horse_Summary!$P$2:$P$41)</f>
        <v>4.51</v>
      </c>
      <c r="R5" s="7"/>
      <c r="S5" s="7"/>
    </row>
    <row r="6" customFormat="false" ht="15" hidden="false" customHeight="false" outlineLevel="0" collapsed="false">
      <c r="B6" s="4"/>
      <c r="C6" s="4"/>
      <c r="D6" s="4"/>
      <c r="E6" s="5"/>
      <c r="F6" s="5"/>
      <c r="G6" s="5"/>
      <c r="H6" s="4"/>
      <c r="I6" s="4"/>
      <c r="J6" s="4"/>
      <c r="K6" s="6"/>
      <c r="L6" s="6"/>
      <c r="M6" s="6"/>
      <c r="N6" s="6"/>
      <c r="O6" s="6"/>
      <c r="P6" s="6"/>
      <c r="Q6" s="7"/>
      <c r="R6" s="7"/>
      <c r="S6" s="7"/>
    </row>
    <row r="8" customFormat="false" ht="15" hidden="false" customHeight="false" outlineLevel="0" collapsed="false">
      <c r="B8" s="8" t="s">
        <v>8</v>
      </c>
      <c r="L8" s="8" t="s">
        <v>9</v>
      </c>
    </row>
    <row r="9" customFormat="false" ht="15" hidden="false" customHeight="true" outlineLevel="0" collapsed="false">
      <c r="B9" s="9" t="s">
        <v>10</v>
      </c>
      <c r="C9" s="9" t="s">
        <v>11</v>
      </c>
      <c r="D9" s="9"/>
      <c r="E9" s="9" t="s">
        <v>12</v>
      </c>
      <c r="F9" s="9"/>
      <c r="G9" s="9" t="s">
        <v>13</v>
      </c>
      <c r="H9" s="9" t="s">
        <v>14</v>
      </c>
      <c r="I9" s="9" t="s">
        <v>15</v>
      </c>
      <c r="J9" s="9" t="s">
        <v>16</v>
      </c>
      <c r="L9" s="9" t="s">
        <v>12</v>
      </c>
      <c r="M9" s="9"/>
      <c r="N9" s="9" t="s">
        <v>2</v>
      </c>
      <c r="O9" s="9" t="s">
        <v>15</v>
      </c>
      <c r="P9" s="9" t="s">
        <v>17</v>
      </c>
      <c r="Q9" s="9" t="s">
        <v>18</v>
      </c>
      <c r="R9" s="9" t="s">
        <v>19</v>
      </c>
    </row>
    <row r="10" customFormat="false" ht="15" hidden="false" customHeight="false" outlineLevel="0" collapsed="false">
      <c r="B10" s="10" t="n">
        <v>1</v>
      </c>
      <c r="C10" s="10" t="str">
        <f aca="false">INDEX(Horse_Summary!$B$2:$B$41,MATCH(1,Horse_Summary!$R$2:$R$41,0))</f>
        <v>HA Rami Royal Flame</v>
      </c>
      <c r="D10" s="10"/>
      <c r="E10" s="10" t="str">
        <f aca="false">INDEX(Horse_Summary!$C$2:$C$41,MATCH(1,Horse_Summary!$R$2:$R$41,0))</f>
        <v>Pogrom</v>
      </c>
      <c r="F10" s="10"/>
      <c r="G10" s="10" t="str">
        <f aca="false">INDEX(Horse_Summary!$E$2:$E$41,MATCH(1,Horse_Summary!$R$2:$R$41,0))</f>
        <v>Stallion</v>
      </c>
      <c r="H10" s="10" t="str">
        <f aca="false">INDEX(Horse_Summary!$F$2:$F$41,MATCH(1,Horse_Summary!$R$2:$R$41,0))</f>
        <v>Mature</v>
      </c>
      <c r="I10" s="11" t="n">
        <f aca="false">INDEX(Horse_Summary!$O$2:$O$41,MATCH(1,Horse_Summary!$R$2:$R$41,0))</f>
        <v>114.333333333333</v>
      </c>
      <c r="J10" s="10" t="str">
        <f aca="false">INDEX(Horse_Summary!$S$2:$S$41,MATCH(1,Horse_Summary!$R$2:$R$41,0))</f>
        <v>Elite</v>
      </c>
      <c r="L10" s="10" t="str">
        <f aca="false">Bloodline_Analysis!A6</f>
        <v>Pogrom</v>
      </c>
      <c r="M10" s="10"/>
      <c r="N10" s="10" t="n">
        <f aca="false">Bloodline_Analysis!C6</f>
        <v>10</v>
      </c>
      <c r="O10" s="11" t="n">
        <f aca="false">Bloodline_Analysis!D6</f>
        <v>112.306666666667</v>
      </c>
      <c r="P10" s="12" t="n">
        <f aca="false">Bloodline_Analysis!I6</f>
        <v>0.5</v>
      </c>
      <c r="Q10" s="10" t="str">
        <f aca="false">Bloodline_Analysis!H15</f>
        <v>Movement</v>
      </c>
      <c r="R10" s="10" t="str">
        <f aca="false">Bloodline_Analysis!I15</f>
        <v>Head_Neck</v>
      </c>
    </row>
    <row r="11" customFormat="false" ht="15" hidden="false" customHeight="false" outlineLevel="0" collapsed="false">
      <c r="B11" s="13" t="n">
        <v>2</v>
      </c>
      <c r="C11" s="13" t="str">
        <f aca="false">INDEX(Horse_Summary!$B$2:$B$41,MATCH(2,Horse_Summary!$R$2:$R$41,0))</f>
        <v>HA Kairo Marquis</v>
      </c>
      <c r="D11" s="13"/>
      <c r="E11" s="13" t="str">
        <f aca="false">INDEX(Horse_Summary!$C$2:$C$41,MATCH(2,Horse_Summary!$R$2:$R$41,0))</f>
        <v>Pogrom</v>
      </c>
      <c r="F11" s="13"/>
      <c r="G11" s="13" t="str">
        <f aca="false">INDEX(Horse_Summary!$E$2:$E$41,MATCH(2,Horse_Summary!$R$2:$R$41,0))</f>
        <v>Filly</v>
      </c>
      <c r="H11" s="13" t="str">
        <f aca="false">INDEX(Horse_Summary!$F$2:$F$41,MATCH(2,Horse_Summary!$R$2:$R$41,0))</f>
        <v>Young Horse</v>
      </c>
      <c r="I11" s="14" t="n">
        <f aca="false">INDEX(Horse_Summary!$O$2:$O$41,MATCH(2,Horse_Summary!$R$2:$R$41,0))</f>
        <v>113.933333333333</v>
      </c>
      <c r="J11" s="13" t="str">
        <f aca="false">INDEX(Horse_Summary!$S$2:$S$41,MATCH(2,Horse_Summary!$R$2:$R$41,0))</f>
        <v>Elite</v>
      </c>
      <c r="L11" s="13" t="str">
        <f aca="false">Bloodline_Analysis!A7</f>
        <v>Cavali by Da Valentio</v>
      </c>
      <c r="M11" s="13"/>
      <c r="N11" s="13" t="n">
        <f aca="false">Bloodline_Analysis!C7</f>
        <v>7</v>
      </c>
      <c r="O11" s="14" t="n">
        <f aca="false">Bloodline_Analysis!D7</f>
        <v>112.147619047619</v>
      </c>
      <c r="P11" s="15" t="n">
        <f aca="false">Bloodline_Analysis!I7</f>
        <v>0.857142857142857</v>
      </c>
      <c r="Q11" s="13" t="str">
        <f aca="false">Bloodline_Analysis!H16</f>
        <v>Type</v>
      </c>
      <c r="R11" s="13" t="str">
        <f aca="false">Bloodline_Analysis!I16</f>
        <v>Body_Topline</v>
      </c>
    </row>
    <row r="12" customFormat="false" ht="15" hidden="false" customHeight="false" outlineLevel="0" collapsed="false">
      <c r="B12" s="10" t="n">
        <v>3</v>
      </c>
      <c r="C12" s="10" t="str">
        <f aca="false">INDEX(Horse_Summary!$B$2:$B$41,MATCH(3,Horse_Summary!$R$2:$R$41,0))</f>
        <v>HA Rayan Dream</v>
      </c>
      <c r="D12" s="10"/>
      <c r="E12" s="10" t="str">
        <f aca="false">INDEX(Horse_Summary!$C$2:$C$41,MATCH(3,Horse_Summary!$R$2:$R$41,0))</f>
        <v>Pogrom</v>
      </c>
      <c r="F12" s="10"/>
      <c r="G12" s="10" t="str">
        <f aca="false">INDEX(Horse_Summary!$E$2:$E$41,MATCH(3,Horse_Summary!$R$2:$R$41,0))</f>
        <v>Colt</v>
      </c>
      <c r="H12" s="10" t="str">
        <f aca="false">INDEX(Horse_Summary!$F$2:$F$41,MATCH(3,Horse_Summary!$R$2:$R$41,0))</f>
        <v>Junior</v>
      </c>
      <c r="I12" s="11" t="n">
        <f aca="false">INDEX(Horse_Summary!$O$2:$O$41,MATCH(3,Horse_Summary!$R$2:$R$41,0))</f>
        <v>113.866666666667</v>
      </c>
      <c r="J12" s="10" t="str">
        <f aca="false">INDEX(Horse_Summary!$S$2:$S$41,MATCH(3,Horse_Summary!$R$2:$R$41,0))</f>
        <v>Elite</v>
      </c>
      <c r="L12" s="10" t="str">
        <f aca="false">Bloodline_Analysis!A8</f>
        <v>Abha Qatar</v>
      </c>
      <c r="M12" s="10"/>
      <c r="N12" s="10" t="n">
        <f aca="false">Bloodline_Analysis!C8</f>
        <v>8</v>
      </c>
      <c r="O12" s="11" t="n">
        <f aca="false">Bloodline_Analysis!D8</f>
        <v>108.954166666667</v>
      </c>
      <c r="P12" s="12" t="n">
        <f aca="false">Bloodline_Analysis!I8</f>
        <v>0</v>
      </c>
      <c r="Q12" s="10" t="str">
        <f aca="false">Bloodline_Analysis!H17</f>
        <v>Head_Neck</v>
      </c>
      <c r="R12" s="10" t="str">
        <f aca="false">Bloodline_Analysis!I17</f>
        <v>Body_Topline</v>
      </c>
    </row>
    <row r="13" customFormat="false" ht="15" hidden="false" customHeight="false" outlineLevel="0" collapsed="false">
      <c r="B13" s="13" t="n">
        <v>4</v>
      </c>
      <c r="C13" s="13" t="str">
        <f aca="false">INDEX(Horse_Summary!$B$2:$B$41,MATCH(4,Horse_Summary!$R$2:$R$41,0))</f>
        <v>HA Amira Legacy</v>
      </c>
      <c r="D13" s="13"/>
      <c r="E13" s="13" t="str">
        <f aca="false">INDEX(Horse_Summary!$C$2:$C$41,MATCH(4,Horse_Summary!$R$2:$R$41,0))</f>
        <v>Pogrom</v>
      </c>
      <c r="F13" s="13"/>
      <c r="G13" s="13" t="str">
        <f aca="false">INDEX(Horse_Summary!$E$2:$E$41,MATCH(4,Horse_Summary!$R$2:$R$41,0))</f>
        <v>Gelding</v>
      </c>
      <c r="H13" s="13" t="str">
        <f aca="false">INDEX(Horse_Summary!$F$2:$F$41,MATCH(4,Horse_Summary!$R$2:$R$41,0))</f>
        <v>Young Horse</v>
      </c>
      <c r="I13" s="14" t="n">
        <f aca="false">INDEX(Horse_Summary!$O$2:$O$41,MATCH(4,Horse_Summary!$R$2:$R$41,0))</f>
        <v>113.433333333333</v>
      </c>
      <c r="J13" s="13" t="str">
        <f aca="false">INDEX(Horse_Summary!$S$2:$S$41,MATCH(4,Horse_Summary!$R$2:$R$41,0))</f>
        <v>Elite</v>
      </c>
      <c r="L13" s="13" t="str">
        <f aca="false">Bloodline_Analysis!A9</f>
        <v>Van Gogh AM</v>
      </c>
      <c r="M13" s="13"/>
      <c r="N13" s="13" t="n">
        <f aca="false">Bloodline_Analysis!C9</f>
        <v>8</v>
      </c>
      <c r="O13" s="14" t="n">
        <f aca="false">Bloodline_Analysis!D9</f>
        <v>108.904166666667</v>
      </c>
      <c r="P13" s="15" t="n">
        <f aca="false">Bloodline_Analysis!I9</f>
        <v>0</v>
      </c>
      <c r="Q13" s="13" t="str">
        <f aca="false">Bloodline_Analysis!H18</f>
        <v>Head_Neck</v>
      </c>
      <c r="R13" s="13" t="str">
        <f aca="false">Bloodline_Analysis!I18</f>
        <v>Legs</v>
      </c>
    </row>
    <row r="14" customFormat="false" ht="15" hidden="false" customHeight="false" outlineLevel="0" collapsed="false">
      <c r="B14" s="10" t="n">
        <v>5</v>
      </c>
      <c r="C14" s="10" t="str">
        <f aca="false">INDEX(Horse_Summary!$B$2:$B$41,MATCH(5,Horse_Summary!$R$2:$R$41,0))</f>
        <v>HA Rahma Al Jannat</v>
      </c>
      <c r="D14" s="10"/>
      <c r="E14" s="10" t="str">
        <f aca="false">INDEX(Horse_Summary!$C$2:$C$41,MATCH(5,Horse_Summary!$R$2:$R$41,0))</f>
        <v>Pogrom</v>
      </c>
      <c r="F14" s="10"/>
      <c r="G14" s="10" t="str">
        <f aca="false">INDEX(Horse_Summary!$E$2:$E$41,MATCH(5,Horse_Summary!$R$2:$R$41,0))</f>
        <v>Gelding</v>
      </c>
      <c r="H14" s="10" t="str">
        <f aca="false">INDEX(Horse_Summary!$F$2:$F$41,MATCH(5,Horse_Summary!$R$2:$R$41,0))</f>
        <v>Mature</v>
      </c>
      <c r="I14" s="11" t="n">
        <f aca="false">INDEX(Horse_Summary!$O$2:$O$41,MATCH(5,Horse_Summary!$R$2:$R$41,0))</f>
        <v>112.933333333333</v>
      </c>
      <c r="J14" s="10" t="str">
        <f aca="false">INDEX(Horse_Summary!$S$2:$S$41,MATCH(5,Horse_Summary!$R$2:$R$41,0))</f>
        <v>Elite</v>
      </c>
      <c r="L14" s="10" t="str">
        <f aca="false">Bloodline_Analysis!A10</f>
        <v>Titan AS</v>
      </c>
      <c r="M14" s="10"/>
      <c r="N14" s="10" t="n">
        <f aca="false">Bloodline_Analysis!C10</f>
        <v>7</v>
      </c>
      <c r="O14" s="11" t="n">
        <f aca="false">Bloodline_Analysis!D10</f>
        <v>106.104761904762</v>
      </c>
      <c r="P14" s="12" t="n">
        <f aca="false">Bloodline_Analysis!I10</f>
        <v>0</v>
      </c>
      <c r="Q14" s="10" t="str">
        <f aca="false">Bloodline_Analysis!H19</f>
        <v>Body_Topline</v>
      </c>
      <c r="R14" s="10" t="str">
        <f aca="false">Bloodline_Analysis!I19</f>
        <v>Head_Neck</v>
      </c>
    </row>
    <row r="15" customFormat="false" ht="15" hidden="false" customHeight="false" outlineLevel="0" collapsed="false">
      <c r="B15" s="13" t="n">
        <v>6</v>
      </c>
      <c r="C15" s="13" t="str">
        <f aca="false">INDEX(Horse_Summary!$B$2:$B$41,MATCH(6,Horse_Summary!$R$2:$R$41,0))</f>
        <v>HA Rashid Golden Star</v>
      </c>
      <c r="D15" s="13"/>
      <c r="E15" s="13" t="str">
        <f aca="false">INDEX(Horse_Summary!$C$2:$C$41,MATCH(6,Horse_Summary!$R$2:$R$41,0))</f>
        <v>Cavali by Da Valentio</v>
      </c>
      <c r="F15" s="13"/>
      <c r="G15" s="13" t="str">
        <f aca="false">INDEX(Horse_Summary!$E$2:$E$41,MATCH(6,Horse_Summary!$R$2:$R$41,0))</f>
        <v>Colt</v>
      </c>
      <c r="H15" s="13" t="str">
        <f aca="false">INDEX(Horse_Summary!$F$2:$F$41,MATCH(6,Horse_Summary!$R$2:$R$41,0))</f>
        <v>Mature</v>
      </c>
      <c r="I15" s="14" t="n">
        <f aca="false">INDEX(Horse_Summary!$O$2:$O$41,MATCH(6,Horse_Summary!$R$2:$R$41,0))</f>
        <v>112.8</v>
      </c>
      <c r="J15" s="13" t="str">
        <f aca="false">INDEX(Horse_Summary!$S$2:$S$41,MATCH(6,Horse_Summary!$R$2:$R$41,0))</f>
        <v>Elite</v>
      </c>
    </row>
    <row r="16" customFormat="false" ht="15" hidden="false" customHeight="false" outlineLevel="0" collapsed="false">
      <c r="B16" s="10" t="n">
        <v>7</v>
      </c>
      <c r="C16" s="10" t="str">
        <f aca="false">INDEX(Horse_Summary!$B$2:$B$41,MATCH(7,Horse_Summary!$R$2:$R$41,0))</f>
        <v>HA Mira Valentino</v>
      </c>
      <c r="D16" s="10"/>
      <c r="E16" s="10" t="str">
        <f aca="false">INDEX(Horse_Summary!$C$2:$C$41,MATCH(7,Horse_Summary!$R$2:$R$41,0))</f>
        <v>Cavali by Da Valentio</v>
      </c>
      <c r="F16" s="10"/>
      <c r="G16" s="10" t="str">
        <f aca="false">INDEX(Horse_Summary!$E$2:$E$41,MATCH(7,Horse_Summary!$R$2:$R$41,0))</f>
        <v>Colt</v>
      </c>
      <c r="H16" s="10" t="str">
        <f aca="false">INDEX(Horse_Summary!$F$2:$F$41,MATCH(7,Horse_Summary!$R$2:$R$41,0))</f>
        <v>Mature</v>
      </c>
      <c r="I16" s="11" t="n">
        <f aca="false">INDEX(Horse_Summary!$O$2:$O$41,MATCH(7,Horse_Summary!$R$2:$R$41,0))</f>
        <v>112.733333333333</v>
      </c>
      <c r="J16" s="10" t="str">
        <f aca="false">INDEX(Horse_Summary!$S$2:$S$41,MATCH(7,Horse_Summary!$R$2:$R$41,0))</f>
        <v>Elite</v>
      </c>
    </row>
    <row r="17" customFormat="false" ht="15" hidden="false" customHeight="false" outlineLevel="0" collapsed="false">
      <c r="B17" s="13" t="n">
        <v>8</v>
      </c>
      <c r="C17" s="13" t="str">
        <f aca="false">INDEX(Horse_Summary!$B$2:$B$41,MATCH(8,Horse_Summary!$R$2:$R$41,0))</f>
        <v>HA Noura Al Jannat</v>
      </c>
      <c r="D17" s="13"/>
      <c r="E17" s="13" t="str">
        <f aca="false">INDEX(Horse_Summary!$C$2:$C$41,MATCH(8,Horse_Summary!$R$2:$R$41,0))</f>
        <v>Cavali by Da Valentio</v>
      </c>
      <c r="F17" s="13"/>
      <c r="G17" s="13" t="str">
        <f aca="false">INDEX(Horse_Summary!$E$2:$E$41,MATCH(8,Horse_Summary!$R$2:$R$41,0))</f>
        <v>Colt</v>
      </c>
      <c r="H17" s="13" t="str">
        <f aca="false">INDEX(Horse_Summary!$F$2:$F$41,MATCH(8,Horse_Summary!$R$2:$R$41,0))</f>
        <v>Young Horse</v>
      </c>
      <c r="I17" s="14" t="n">
        <f aca="false">INDEX(Horse_Summary!$O$2:$O$41,MATCH(8,Horse_Summary!$R$2:$R$41,0))</f>
        <v>112.466666666667</v>
      </c>
      <c r="J17" s="13" t="str">
        <f aca="false">INDEX(Horse_Summary!$S$2:$S$41,MATCH(8,Horse_Summary!$R$2:$R$41,0))</f>
        <v>Elite</v>
      </c>
      <c r="L17" s="8" t="s">
        <v>20</v>
      </c>
    </row>
    <row r="18" customFormat="false" ht="15" hidden="false" customHeight="false" outlineLevel="0" collapsed="false">
      <c r="B18" s="10" t="n">
        <v>9</v>
      </c>
      <c r="C18" s="10" t="str">
        <f aca="false">INDEX(Horse_Summary!$B$2:$B$41,MATCH(9,Horse_Summary!$R$2:$R$41,0))</f>
        <v>HA Layla Dream</v>
      </c>
      <c r="D18" s="10"/>
      <c r="E18" s="10" t="str">
        <f aca="false">INDEX(Horse_Summary!$C$2:$C$41,MATCH(9,Horse_Summary!$R$2:$R$41,0))</f>
        <v>Cavali by Da Valentio</v>
      </c>
      <c r="F18" s="10"/>
      <c r="G18" s="10" t="str">
        <f aca="false">INDEX(Horse_Summary!$E$2:$E$41,MATCH(9,Horse_Summary!$R$2:$R$41,0))</f>
        <v>Mare</v>
      </c>
      <c r="H18" s="10" t="str">
        <f aca="false">INDEX(Horse_Summary!$F$2:$F$41,MATCH(9,Horse_Summary!$R$2:$R$41,0))</f>
        <v>Young Horse</v>
      </c>
      <c r="I18" s="11" t="n">
        <f aca="false">INDEX(Horse_Summary!$O$2:$O$41,MATCH(9,Horse_Summary!$R$2:$R$41,0))</f>
        <v>112.133333333333</v>
      </c>
      <c r="J18" s="10" t="str">
        <f aca="false">INDEX(Horse_Summary!$S$2:$S$41,MATCH(9,Horse_Summary!$R$2:$R$41,0))</f>
        <v>Elite</v>
      </c>
      <c r="L18" s="16" t="s">
        <v>21</v>
      </c>
      <c r="M18" s="17" t="s">
        <v>22</v>
      </c>
      <c r="N18" s="17"/>
      <c r="O18" s="17"/>
      <c r="P18" s="17"/>
    </row>
    <row r="19" customFormat="false" ht="15" hidden="false" customHeight="false" outlineLevel="0" collapsed="false">
      <c r="B19" s="13" t="n">
        <v>10</v>
      </c>
      <c r="C19" s="13" t="str">
        <f aca="false">INDEX(Horse_Summary!$B$2:$B$41,MATCH(10,Horse_Summary!$R$2:$R$41,0))</f>
        <v>HA Nashira Royal Flame</v>
      </c>
      <c r="D19" s="13"/>
      <c r="E19" s="13" t="str">
        <f aca="false">INDEX(Horse_Summary!$C$2:$C$41,MATCH(10,Horse_Summary!$R$2:$R$41,0))</f>
        <v>Cavali by Da Valentio</v>
      </c>
      <c r="F19" s="13"/>
      <c r="G19" s="13" t="str">
        <f aca="false">INDEX(Horse_Summary!$E$2:$E$41,MATCH(10,Horse_Summary!$R$2:$R$41,0))</f>
        <v>Colt</v>
      </c>
      <c r="H19" s="13" t="str">
        <f aca="false">INDEX(Horse_Summary!$F$2:$F$41,MATCH(10,Horse_Summary!$R$2:$R$41,0))</f>
        <v>Mature</v>
      </c>
      <c r="I19" s="14" t="n">
        <f aca="false">INDEX(Horse_Summary!$O$2:$O$41,MATCH(10,Horse_Summary!$R$2:$R$41,0))</f>
        <v>112.133333333333</v>
      </c>
      <c r="J19" s="13" t="str">
        <f aca="false">INDEX(Horse_Summary!$S$2:$S$41,MATCH(10,Horse_Summary!$R$2:$R$41,0))</f>
        <v>Elite</v>
      </c>
      <c r="L19" s="18" t="s">
        <v>12</v>
      </c>
      <c r="M19" s="16" t="str">
        <f aca="false">INDEX(Horse_Summary!$C$2:$C$41,MATCH($M$18,Horse_Summary!$B$2:$B$41,0))</f>
        <v>Pogrom</v>
      </c>
      <c r="O19" s="18" t="s">
        <v>23</v>
      </c>
      <c r="P19" s="16" t="n">
        <f aca="false">INDEX(Horse_Summary!$Q$2:$Q$41,MATCH($M$18,Horse_Summary!$B$2:$B$41,0))</f>
        <v>4</v>
      </c>
    </row>
    <row r="20" customFormat="false" ht="15" hidden="false" customHeight="false" outlineLevel="0" collapsed="false">
      <c r="L20" s="18" t="s">
        <v>24</v>
      </c>
      <c r="M20" s="16" t="str">
        <f aca="false">INDEX(Horse_Summary!$D$2:$D$41,MATCH($M$18,Horse_Summary!$B$2:$B$41,0))</f>
        <v>El Nabila B</v>
      </c>
      <c r="O20" s="18" t="s">
        <v>16</v>
      </c>
      <c r="P20" s="16" t="str">
        <f aca="false">INDEX(Horse_Summary!$S$2:$S$41,MATCH($M$18,Horse_Summary!$B$2:$B$41,0))</f>
        <v>Elite</v>
      </c>
    </row>
    <row r="21" customFormat="false" ht="15" hidden="false" customHeight="false" outlineLevel="0" collapsed="false">
      <c r="L21" s="18" t="s">
        <v>13</v>
      </c>
      <c r="M21" s="16" t="str">
        <f aca="false">INDEX(Horse_Summary!$E$2:$E$41,MATCH($M$18,Horse_Summary!$B$2:$B$41,0))</f>
        <v>Gelding</v>
      </c>
      <c r="O21" s="18" t="s">
        <v>25</v>
      </c>
      <c r="P21" s="16" t="str">
        <f aca="false">INDEX(Horse_Summary!$T$2:$T$41,MATCH($M$18,Horse_Summary!$B$2:$B$41,0))</f>
        <v>Balance</v>
      </c>
    </row>
    <row r="22" customFormat="false" ht="15" hidden="false" customHeight="false" outlineLevel="0" collapsed="false">
      <c r="L22" s="18" t="s">
        <v>14</v>
      </c>
      <c r="M22" s="16" t="str">
        <f aca="false">INDEX(Horse_Summary!$F$2:$F$41,MATCH($M$18,Horse_Summary!$B$2:$B$41,0))</f>
        <v>Young Horse</v>
      </c>
      <c r="O22" s="18" t="s">
        <v>26</v>
      </c>
      <c r="P22" s="16" t="str">
        <f aca="false">INDEX(Horse_Summary!$U$2:$U$41,MATCH($M$18,Horse_Summary!$B$2:$B$41,0))</f>
        <v>Legs</v>
      </c>
    </row>
    <row r="23" customFormat="false" ht="15" hidden="false" customHeight="false" outlineLevel="0" collapsed="false">
      <c r="L23" s="18" t="s">
        <v>15</v>
      </c>
      <c r="M23" s="19" t="n">
        <f aca="false">INDEX(Horse_Summary!$O$2:$O$41,MATCH($M$18,Horse_Summary!$B$2:$B$41,0))</f>
        <v>113.433333333333</v>
      </c>
      <c r="O23" s="18" t="s">
        <v>27</v>
      </c>
      <c r="P23" s="19" t="n">
        <f aca="false">INDEX(Horse_Summary!$P$2:$P$41,MATCH($M$18,Horse_Summary!$B$2:$B$41,0))</f>
        <v>1.80000000000001</v>
      </c>
    </row>
    <row r="25" customFormat="false" ht="15" hidden="false" customHeight="false" outlineLevel="0" collapsed="false">
      <c r="L25" s="9" t="s">
        <v>28</v>
      </c>
      <c r="M25" s="9" t="s">
        <v>11</v>
      </c>
      <c r="N25" s="9" t="s">
        <v>29</v>
      </c>
      <c r="O25" s="9" t="s">
        <v>30</v>
      </c>
      <c r="P25" s="9" t="s">
        <v>31</v>
      </c>
    </row>
    <row r="26" customFormat="false" ht="15" hidden="false" customHeight="false" outlineLevel="0" collapsed="false">
      <c r="L26" s="10" t="s">
        <v>32</v>
      </c>
      <c r="M26" s="11" t="n">
        <f aca="false">INDEX(Horse_Summary!$I$2:$I$41,MATCH($M$18,Horse_Summary!$B$2:$B$41,0))</f>
        <v>18.5333333333333</v>
      </c>
      <c r="N26" s="11" t="n">
        <f aca="false">AVERAGE(Horse_Summary!$I$2:$I$41)</f>
        <v>18.44</v>
      </c>
      <c r="O26" s="11" t="n">
        <f aca="false">AVERAGEIF(Horse_Summary!$C$2:$C$41,INDEX(Horse_Summary!$C$2:$C$41,MATCH($M$18,Horse_Summary!$B$2:$B$41,0)),Horse_Summary!$I$2:$I$41)</f>
        <v>18.8433333333333</v>
      </c>
      <c r="P26" s="20" t="n">
        <f aca="false">M26-N26</f>
        <v>0.0933333333333302</v>
      </c>
    </row>
    <row r="27" customFormat="false" ht="15" hidden="false" customHeight="false" outlineLevel="0" collapsed="false">
      <c r="L27" s="13" t="s">
        <v>33</v>
      </c>
      <c r="M27" s="14" t="n">
        <f aca="false">INDEX(Horse_Summary!$J$2:$J$41,MATCH($M$18,Horse_Summary!$B$2:$B$41,0))</f>
        <v>19.0333333333333</v>
      </c>
      <c r="N27" s="14" t="n">
        <f aca="false">AVERAGE(Horse_Summary!$J$2:$J$41)</f>
        <v>18.355</v>
      </c>
      <c r="O27" s="14" t="n">
        <f aca="false">AVERAGEIF(Horse_Summary!$C$2:$C$41,INDEX(Horse_Summary!$C$2:$C$41,MATCH($M$18,Horse_Summary!$B$2:$B$41,0)),Horse_Summary!$J$2:$J$41)</f>
        <v>18.2933333333333</v>
      </c>
      <c r="P27" s="21" t="n">
        <f aca="false">M27-N27</f>
        <v>0.678333333333335</v>
      </c>
    </row>
    <row r="28" customFormat="false" ht="15" hidden="false" customHeight="false" outlineLevel="0" collapsed="false">
      <c r="L28" s="10" t="s">
        <v>34</v>
      </c>
      <c r="M28" s="11" t="n">
        <f aca="false">INDEX(Horse_Summary!$K$2:$K$41,MATCH($M$18,Horse_Summary!$B$2:$B$41,0))</f>
        <v>19.1</v>
      </c>
      <c r="N28" s="11" t="n">
        <f aca="false">AVERAGE(Horse_Summary!$K$2:$K$41)</f>
        <v>18.3016666666667</v>
      </c>
      <c r="O28" s="11" t="n">
        <f aca="false">AVERAGEIF(Horse_Summary!$C$2:$C$41,INDEX(Horse_Summary!$C$2:$C$41,MATCH($M$18,Horse_Summary!$B$2:$B$41,0)),Horse_Summary!$K$2:$K$41)</f>
        <v>19.0033333333333</v>
      </c>
      <c r="P28" s="20" t="n">
        <f aca="false">M28-N28</f>
        <v>0.798333333333329</v>
      </c>
    </row>
    <row r="29" customFormat="false" ht="15" hidden="false" customHeight="false" outlineLevel="0" collapsed="false">
      <c r="L29" s="13" t="s">
        <v>35</v>
      </c>
      <c r="M29" s="14" t="n">
        <f aca="false">INDEX(Horse_Summary!$L$2:$L$41,MATCH($M$18,Horse_Summary!$B$2:$B$41,0))</f>
        <v>18.0333333333333</v>
      </c>
      <c r="N29" s="14" t="n">
        <f aca="false">AVERAGE(Horse_Summary!$L$2:$L$41)</f>
        <v>18.125</v>
      </c>
      <c r="O29" s="14" t="n">
        <f aca="false">AVERAGEIF(Horse_Summary!$C$2:$C$41,INDEX(Horse_Summary!$C$2:$C$41,MATCH($M$18,Horse_Summary!$B$2:$B$41,0)),Horse_Summary!$L$2:$L$41)</f>
        <v>18.4533333333333</v>
      </c>
      <c r="P29" s="21" t="n">
        <f aca="false">M29-N29</f>
        <v>-0.091666666666665</v>
      </c>
    </row>
    <row r="30" customFormat="false" ht="15" hidden="false" customHeight="false" outlineLevel="0" collapsed="false">
      <c r="L30" s="10" t="s">
        <v>36</v>
      </c>
      <c r="M30" s="11" t="n">
        <f aca="false">INDEX(Horse_Summary!$M$2:$M$41,MATCH($M$18,Horse_Summary!$B$2:$B$41,0))</f>
        <v>18.9333333333333</v>
      </c>
      <c r="N30" s="11" t="n">
        <f aca="false">AVERAGE(Horse_Summary!$M$2:$M$41)</f>
        <v>18.33</v>
      </c>
      <c r="O30" s="11" t="n">
        <f aca="false">AVERAGEIF(Horse_Summary!$C$2:$C$41,INDEX(Horse_Summary!$C$2:$C$41,MATCH($M$18,Horse_Summary!$B$2:$B$41,0)),Horse_Summary!$M$2:$M$41)</f>
        <v>19.2066666666667</v>
      </c>
      <c r="P30" s="20" t="n">
        <f aca="false">M30-N30</f>
        <v>0.603333333333332</v>
      </c>
    </row>
    <row r="31" customFormat="false" ht="15" hidden="false" customHeight="false" outlineLevel="0" collapsed="false">
      <c r="L31" s="13" t="s">
        <v>37</v>
      </c>
      <c r="M31" s="14" t="n">
        <f aca="false">INDEX(Horse_Summary!$N$2:$N$41,MATCH($M$18,Horse_Summary!$B$2:$B$41,0))</f>
        <v>19.8</v>
      </c>
      <c r="N31" s="14" t="n">
        <f aca="false">AVERAGE(Horse_Summary!$N$2:$N$41)</f>
        <v>18.2908333333333</v>
      </c>
      <c r="O31" s="14" t="n">
        <f aca="false">AVERAGEIF(Horse_Summary!$C$2:$C$41,INDEX(Horse_Summary!$C$2:$C$41,MATCH($M$18,Horse_Summary!$B$2:$B$41,0)),Horse_Summary!$N$2:$N$41)</f>
        <v>18.5066666666667</v>
      </c>
      <c r="P31" s="21" t="n">
        <f aca="false">M31-N31</f>
        <v>1.50916666666667</v>
      </c>
    </row>
  </sheetData>
  <mergeCells count="41">
    <mergeCell ref="B4:D4"/>
    <mergeCell ref="E4:G4"/>
    <mergeCell ref="H4:J4"/>
    <mergeCell ref="K4:M4"/>
    <mergeCell ref="N4:P4"/>
    <mergeCell ref="Q4:S4"/>
    <mergeCell ref="B5:D6"/>
    <mergeCell ref="E5:G6"/>
    <mergeCell ref="H5:J6"/>
    <mergeCell ref="K5:M6"/>
    <mergeCell ref="N5:P6"/>
    <mergeCell ref="Q5:S6"/>
    <mergeCell ref="C9:D9"/>
    <mergeCell ref="E9:F9"/>
    <mergeCell ref="L9:M9"/>
    <mergeCell ref="C10:D10"/>
    <mergeCell ref="E10:F10"/>
    <mergeCell ref="L10:M10"/>
    <mergeCell ref="C11:D11"/>
    <mergeCell ref="E11:F11"/>
    <mergeCell ref="L11:M11"/>
    <mergeCell ref="C12:D12"/>
    <mergeCell ref="E12:F12"/>
    <mergeCell ref="L12:M12"/>
    <mergeCell ref="C13:D13"/>
    <mergeCell ref="E13:F13"/>
    <mergeCell ref="L13:M13"/>
    <mergeCell ref="C14:D14"/>
    <mergeCell ref="E14:F14"/>
    <mergeCell ref="L14:M14"/>
    <mergeCell ref="C15:D15"/>
    <mergeCell ref="E15:F15"/>
    <mergeCell ref="C16:D16"/>
    <mergeCell ref="E16:F16"/>
    <mergeCell ref="C17:D17"/>
    <mergeCell ref="E17:F17"/>
    <mergeCell ref="C18:D18"/>
    <mergeCell ref="E18:F18"/>
    <mergeCell ref="M18:P18"/>
    <mergeCell ref="C19:D19"/>
    <mergeCell ref="E19:F19"/>
  </mergeCells>
  <conditionalFormatting sqref="I10:I19">
    <cfRule type="colorScale" priority="2">
      <colorScale>
        <cfvo type="num" val="110"/>
        <cfvo type="num" val="115"/>
        <color rgb="FFEAF2FD"/>
        <color rgb="FF2A78D6"/>
      </colorScale>
    </cfRule>
  </conditionalFormatting>
  <conditionalFormatting sqref="O10:O14">
    <cfRule type="colorScale" priority="3">
      <colorScale>
        <cfvo type="num" val="105"/>
        <cfvo type="num" val="113"/>
        <color rgb="FFEAF2FD"/>
        <color rgb="FF2A78D6"/>
      </colorScale>
    </cfRule>
  </conditionalFormatting>
  <conditionalFormatting sqref="P26:P31">
    <cfRule type="colorScale" priority="4">
      <colorScale>
        <cfvo type="num" val="-1.5"/>
        <cfvo type="num" val="0"/>
        <cfvo type="num" val="1.5"/>
        <color rgb="FFE34948"/>
        <color rgb="FFF7F6F3"/>
        <color rgb="FF2A78D6"/>
      </colorScale>
    </cfRule>
  </conditionalFormatting>
  <dataValidations count="1">
    <dataValidation allowBlank="false" errorStyle="stop" operator="between" showDropDown="false" showErrorMessage="false" showInputMessage="false" sqref="M18" type="list">
      <formula1>Horse_Summary!$B$2:$B$41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25.5" hidden="false" customHeight="true" outlineLevel="0" collapsed="false">
      <c r="A1" s="22" t="s">
        <v>38</v>
      </c>
    </row>
    <row r="3" customFormat="false" ht="15" hidden="false" customHeight="false" outlineLevel="0" collapsed="false">
      <c r="A3" s="23" t="s">
        <v>39</v>
      </c>
      <c r="B3" s="24" t="s">
        <v>40</v>
      </c>
    </row>
    <row r="4" customFormat="false" ht="23.85" hidden="false" customHeight="false" outlineLevel="0" collapsed="false">
      <c r="A4" s="23" t="s">
        <v>41</v>
      </c>
      <c r="B4" s="24" t="s">
        <v>42</v>
      </c>
    </row>
    <row r="5" customFormat="false" ht="23.85" hidden="false" customHeight="false" outlineLevel="0" collapsed="false">
      <c r="A5" s="23" t="s">
        <v>43</v>
      </c>
      <c r="B5" s="24" t="s">
        <v>44</v>
      </c>
    </row>
    <row r="6" customFormat="false" ht="15" hidden="false" customHeight="false" outlineLevel="0" collapsed="false">
      <c r="A6" s="23"/>
      <c r="B6" s="24"/>
    </row>
    <row r="7" customFormat="false" ht="15" hidden="false" customHeight="false" outlineLevel="0" collapsed="false">
      <c r="A7" s="23" t="s">
        <v>45</v>
      </c>
      <c r="B7" s="24"/>
    </row>
    <row r="8" customFormat="false" ht="15" hidden="false" customHeight="false" outlineLevel="0" collapsed="false">
      <c r="A8" s="23" t="s">
        <v>46</v>
      </c>
      <c r="B8" s="24" t="s">
        <v>47</v>
      </c>
    </row>
    <row r="9" customFormat="false" ht="15" hidden="false" customHeight="false" outlineLevel="0" collapsed="false">
      <c r="A9" s="23" t="s">
        <v>48</v>
      </c>
      <c r="B9" s="24" t="s">
        <v>49</v>
      </c>
    </row>
    <row r="10" customFormat="false" ht="15" hidden="false" customHeight="false" outlineLevel="0" collapsed="false">
      <c r="A10" s="23" t="s">
        <v>50</v>
      </c>
      <c r="B10" s="24" t="s">
        <v>51</v>
      </c>
    </row>
    <row r="11" customFormat="false" ht="15" hidden="false" customHeight="false" outlineLevel="0" collapsed="false">
      <c r="A11" s="23" t="s">
        <v>52</v>
      </c>
      <c r="B11" s="24" t="s">
        <v>53</v>
      </c>
    </row>
    <row r="12" customFormat="false" ht="15" hidden="false" customHeight="false" outlineLevel="0" collapsed="false">
      <c r="A12" s="23" t="s">
        <v>54</v>
      </c>
      <c r="B12" s="24" t="s">
        <v>55</v>
      </c>
    </row>
    <row r="13" customFormat="false" ht="15" hidden="false" customHeight="false" outlineLevel="0" collapsed="false">
      <c r="A13" s="23" t="s">
        <v>56</v>
      </c>
      <c r="B13" s="24" t="s">
        <v>57</v>
      </c>
    </row>
    <row r="14" customFormat="false" ht="15" hidden="false" customHeight="false" outlineLevel="0" collapsed="false">
      <c r="A14" s="23" t="s">
        <v>58</v>
      </c>
      <c r="B14" s="24" t="s">
        <v>59</v>
      </c>
    </row>
    <row r="15" customFormat="false" ht="15" hidden="false" customHeight="false" outlineLevel="0" collapsed="false">
      <c r="A15" s="23" t="s">
        <v>60</v>
      </c>
      <c r="B15" s="24" t="s">
        <v>61</v>
      </c>
    </row>
    <row r="16" customFormat="false" ht="15" hidden="false" customHeight="false" outlineLevel="0" collapsed="false">
      <c r="A16" s="23" t="s">
        <v>62</v>
      </c>
      <c r="B16" s="24" t="s">
        <v>63</v>
      </c>
    </row>
    <row r="17" customFormat="false" ht="15" hidden="false" customHeight="false" outlineLevel="0" collapsed="false">
      <c r="A17" s="23" t="s">
        <v>64</v>
      </c>
      <c r="B17" s="24" t="s">
        <v>65</v>
      </c>
    </row>
    <row r="18" customFormat="false" ht="15" hidden="false" customHeight="false" outlineLevel="0" collapsed="false">
      <c r="A18" s="23" t="s">
        <v>66</v>
      </c>
      <c r="B18" s="24" t="s">
        <v>67</v>
      </c>
    </row>
    <row r="19" customFormat="false" ht="15" hidden="false" customHeight="false" outlineLevel="0" collapsed="false">
      <c r="A19" s="23"/>
      <c r="B19" s="24"/>
    </row>
    <row r="20" customFormat="false" ht="23.85" hidden="false" customHeight="false" outlineLevel="0" collapsed="false">
      <c r="A20" s="23" t="s">
        <v>68</v>
      </c>
      <c r="B20" s="24" t="s">
        <v>69</v>
      </c>
    </row>
    <row r="21" customFormat="false" ht="15" hidden="false" customHeight="false" outlineLevel="0" collapsed="false">
      <c r="A21" s="23" t="s">
        <v>70</v>
      </c>
      <c r="B21" s="24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8984"/>
    <pageSetUpPr fitToPage="fals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"/>
    <col collapsed="false" customWidth="true" hidden="false" outlineLevel="0" max="3" min="3" style="0" width="80"/>
  </cols>
  <sheetData>
    <row r="1" customFormat="false" ht="25.5" hidden="false" customHeight="true" outlineLevel="0" collapsed="false">
      <c r="A1" s="22" t="s">
        <v>72</v>
      </c>
    </row>
    <row r="2" customFormat="false" ht="15" hidden="false" customHeight="false" outlineLevel="0" collapsed="false">
      <c r="A2" s="2" t="s">
        <v>73</v>
      </c>
    </row>
    <row r="4" customFormat="false" ht="15" hidden="false" customHeight="false" outlineLevel="0" collapsed="false">
      <c r="A4" s="9" t="s">
        <v>74</v>
      </c>
      <c r="B4" s="9" t="s">
        <v>75</v>
      </c>
      <c r="C4" s="9" t="s">
        <v>76</v>
      </c>
    </row>
    <row r="5" customFormat="false" ht="15" hidden="false" customHeight="false" outlineLevel="0" collapsed="false">
      <c r="A5" s="25" t="s">
        <v>77</v>
      </c>
      <c r="B5" s="26" t="n">
        <v>2026</v>
      </c>
      <c r="C5" s="27" t="s">
        <v>78</v>
      </c>
    </row>
    <row r="6" customFormat="false" ht="15" hidden="false" customHeight="false" outlineLevel="0" collapsed="false">
      <c r="A6" s="25" t="s">
        <v>79</v>
      </c>
      <c r="B6" s="26" t="n">
        <v>20</v>
      </c>
      <c r="C6" s="27" t="s">
        <v>80</v>
      </c>
    </row>
    <row r="7" customFormat="false" ht="15" hidden="false" customHeight="false" outlineLevel="0" collapsed="false">
      <c r="A7" s="25" t="s">
        <v>81</v>
      </c>
      <c r="B7" s="26" t="n">
        <v>120</v>
      </c>
      <c r="C7" s="27" t="s">
        <v>82</v>
      </c>
    </row>
    <row r="8" customFormat="false" ht="15" hidden="false" customHeight="false" outlineLevel="0" collapsed="false">
      <c r="A8" s="25" t="s">
        <v>83</v>
      </c>
      <c r="B8" s="26" t="n">
        <v>112</v>
      </c>
      <c r="C8" s="27" t="s">
        <v>84</v>
      </c>
    </row>
    <row r="9" customFormat="false" ht="15" hidden="false" customHeight="false" outlineLevel="0" collapsed="false">
      <c r="A9" s="25" t="s">
        <v>85</v>
      </c>
      <c r="B9" s="26" t="n">
        <v>106</v>
      </c>
      <c r="C9" s="27"/>
    </row>
    <row r="10" customFormat="false" ht="15" hidden="false" customHeight="false" outlineLevel="0" collapsed="false">
      <c r="A10" s="25" t="s">
        <v>86</v>
      </c>
      <c r="B10" s="26" t="n">
        <v>100</v>
      </c>
      <c r="C10" s="27" t="s">
        <v>87</v>
      </c>
    </row>
    <row r="11" customFormat="false" ht="15" hidden="false" customHeight="false" outlineLevel="0" collapsed="false">
      <c r="A11" s="25" t="s">
        <v>88</v>
      </c>
      <c r="B11" s="26" t="n">
        <v>3</v>
      </c>
      <c r="C11" s="27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Q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5" min="4" style="0" width="10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22"/>
    <col collapsed="false" customWidth="true" hidden="false" outlineLevel="0" max="10" min="10" style="0" width="20"/>
    <col collapsed="false" customWidth="true" hidden="false" outlineLevel="0" max="11" min="11" style="0" width="18"/>
    <col collapsed="false" customWidth="true" hidden="false" outlineLevel="0" max="12" min="12" style="0" width="24"/>
    <col collapsed="false" customWidth="true" hidden="false" outlineLevel="0" max="14" min="13" style="0" width="20"/>
    <col collapsed="false" customWidth="true" hidden="false" outlineLevel="0" max="15" min="15" style="0" width="24"/>
    <col collapsed="false" customWidth="true" hidden="false" outlineLevel="0" max="16" min="16" style="0" width="7"/>
    <col collapsed="false" customWidth="true" hidden="false" outlineLevel="0" max="17" min="17" style="0" width="17"/>
  </cols>
  <sheetData>
    <row r="1" customFormat="false" ht="23.85" hidden="false" customHeight="false" outlineLevel="0" collapsed="false">
      <c r="A1" s="9" t="s">
        <v>90</v>
      </c>
      <c r="B1" s="9" t="s">
        <v>91</v>
      </c>
      <c r="C1" s="9" t="s">
        <v>92</v>
      </c>
      <c r="D1" s="9" t="s">
        <v>13</v>
      </c>
      <c r="E1" s="9" t="s">
        <v>93</v>
      </c>
      <c r="F1" s="9" t="s">
        <v>94</v>
      </c>
      <c r="G1" s="9" t="s">
        <v>95</v>
      </c>
      <c r="H1" s="9" t="s">
        <v>96</v>
      </c>
      <c r="I1" s="9" t="s">
        <v>12</v>
      </c>
      <c r="J1" s="9" t="s">
        <v>97</v>
      </c>
      <c r="K1" s="9" t="s">
        <v>98</v>
      </c>
      <c r="L1" s="9" t="s">
        <v>99</v>
      </c>
      <c r="M1" s="9" t="s">
        <v>100</v>
      </c>
      <c r="N1" s="9" t="s">
        <v>101</v>
      </c>
      <c r="O1" s="9" t="s">
        <v>102</v>
      </c>
      <c r="P1" s="9" t="s">
        <v>103</v>
      </c>
      <c r="Q1" s="9" t="s">
        <v>104</v>
      </c>
    </row>
    <row r="2" customFormat="false" ht="15" hidden="false" customHeight="false" outlineLevel="0" collapsed="false">
      <c r="A2" s="10" t="s">
        <v>105</v>
      </c>
      <c r="B2" s="10" t="s">
        <v>22</v>
      </c>
      <c r="C2" s="10" t="s">
        <v>106</v>
      </c>
      <c r="D2" s="10" t="s">
        <v>107</v>
      </c>
      <c r="E2" s="10" t="n">
        <v>2023</v>
      </c>
      <c r="F2" s="10" t="s">
        <v>108</v>
      </c>
      <c r="G2" s="10" t="s">
        <v>109</v>
      </c>
      <c r="H2" s="10" t="s">
        <v>110</v>
      </c>
      <c r="I2" s="10" t="s">
        <v>111</v>
      </c>
      <c r="J2" s="10" t="s">
        <v>112</v>
      </c>
      <c r="K2" s="10" t="s">
        <v>113</v>
      </c>
      <c r="L2" s="10" t="s">
        <v>114</v>
      </c>
      <c r="M2" s="10" t="s">
        <v>115</v>
      </c>
      <c r="N2" s="10" t="s">
        <v>116</v>
      </c>
      <c r="O2" s="10" t="s">
        <v>117</v>
      </c>
      <c r="P2" s="10" t="n">
        <f aca="false">Settings!$B$5-E2</f>
        <v>3</v>
      </c>
      <c r="Q2" s="10" t="str">
        <f aca="false">IF(AND(OR(D2="Colt",D2="Filly"),P2&gt;Settings!$B$11),"Sex/age mismatch",IF(AND(OR(D2="Stallion",D2="Mare"),P2&lt;=Settings!$B$11),"Sex/age mismatch",""))</f>
        <v/>
      </c>
    </row>
    <row r="3" customFormat="false" ht="15" hidden="false" customHeight="false" outlineLevel="0" collapsed="false">
      <c r="A3" s="10" t="s">
        <v>118</v>
      </c>
      <c r="B3" s="10" t="s">
        <v>119</v>
      </c>
      <c r="C3" s="10" t="s">
        <v>120</v>
      </c>
      <c r="D3" s="10" t="s">
        <v>121</v>
      </c>
      <c r="E3" s="10" t="n">
        <v>2024</v>
      </c>
      <c r="F3" s="10" t="s">
        <v>122</v>
      </c>
      <c r="G3" s="10" t="s">
        <v>123</v>
      </c>
      <c r="H3" s="10" t="s">
        <v>124</v>
      </c>
      <c r="I3" s="10" t="s">
        <v>111</v>
      </c>
      <c r="J3" s="10" t="s">
        <v>125</v>
      </c>
      <c r="K3" s="10" t="s">
        <v>126</v>
      </c>
      <c r="L3" s="10" t="s">
        <v>114</v>
      </c>
      <c r="M3" s="10" t="s">
        <v>127</v>
      </c>
      <c r="N3" s="10" t="s">
        <v>128</v>
      </c>
      <c r="O3" s="10" t="s">
        <v>117</v>
      </c>
      <c r="P3" s="10" t="n">
        <f aca="false">Settings!$B$5-E3</f>
        <v>2</v>
      </c>
      <c r="Q3" s="10" t="str">
        <f aca="false">IF(AND(OR(D3="Colt",D3="Filly"),P3&gt;Settings!$B$11),"Sex/age mismatch",IF(AND(OR(D3="Stallion",D3="Mare"),P3&lt;=Settings!$B$11),"Sex/age mismatch",""))</f>
        <v/>
      </c>
    </row>
    <row r="4" customFormat="false" ht="15" hidden="false" customHeight="false" outlineLevel="0" collapsed="false">
      <c r="A4" s="10" t="s">
        <v>129</v>
      </c>
      <c r="B4" s="10" t="s">
        <v>130</v>
      </c>
      <c r="C4" s="10" t="s">
        <v>131</v>
      </c>
      <c r="D4" s="10" t="s">
        <v>132</v>
      </c>
      <c r="E4" s="10" t="n">
        <v>2024</v>
      </c>
      <c r="F4" s="10" t="s">
        <v>122</v>
      </c>
      <c r="G4" s="10" t="s">
        <v>133</v>
      </c>
      <c r="H4" s="10" t="s">
        <v>134</v>
      </c>
      <c r="I4" s="10" t="s">
        <v>135</v>
      </c>
      <c r="J4" s="10" t="s">
        <v>136</v>
      </c>
      <c r="K4" s="10" t="s">
        <v>137</v>
      </c>
      <c r="L4" s="10" t="s">
        <v>138</v>
      </c>
      <c r="M4" s="10" t="s">
        <v>139</v>
      </c>
      <c r="N4" s="10" t="s">
        <v>140</v>
      </c>
      <c r="O4" s="10" t="s">
        <v>141</v>
      </c>
      <c r="P4" s="10" t="n">
        <f aca="false">Settings!$B$5-E4</f>
        <v>2</v>
      </c>
      <c r="Q4" s="10" t="str">
        <f aca="false">IF(AND(OR(D4="Colt",D4="Filly"),P4&gt;Settings!$B$11),"Sex/age mismatch",IF(AND(OR(D4="Stallion",D4="Mare"),P4&lt;=Settings!$B$11),"Sex/age mismatch",""))</f>
        <v>Sex/age mismatch</v>
      </c>
    </row>
    <row r="5" customFormat="false" ht="15" hidden="false" customHeight="false" outlineLevel="0" collapsed="false">
      <c r="A5" s="10" t="s">
        <v>142</v>
      </c>
      <c r="B5" s="10" t="s">
        <v>143</v>
      </c>
      <c r="C5" s="10" t="s">
        <v>144</v>
      </c>
      <c r="D5" s="10" t="s">
        <v>145</v>
      </c>
      <c r="E5" s="10" t="n">
        <v>2023</v>
      </c>
      <c r="F5" s="10" t="s">
        <v>108</v>
      </c>
      <c r="G5" s="10" t="s">
        <v>146</v>
      </c>
      <c r="H5" s="10" t="s">
        <v>134</v>
      </c>
      <c r="I5" s="10" t="s">
        <v>147</v>
      </c>
      <c r="J5" s="10" t="s">
        <v>148</v>
      </c>
      <c r="K5" s="10" t="s">
        <v>149</v>
      </c>
      <c r="L5" s="10" t="s">
        <v>150</v>
      </c>
      <c r="M5" s="10" t="s">
        <v>151</v>
      </c>
      <c r="N5" s="10" t="s">
        <v>140</v>
      </c>
      <c r="O5" s="10" t="s">
        <v>152</v>
      </c>
      <c r="P5" s="10" t="n">
        <f aca="false">Settings!$B$5-E5</f>
        <v>3</v>
      </c>
      <c r="Q5" s="10" t="str">
        <f aca="false">IF(AND(OR(D5="Colt",D5="Filly"),P5&gt;Settings!$B$11),"Sex/age mismatch",IF(AND(OR(D5="Stallion",D5="Mare"),P5&lt;=Settings!$B$11),"Sex/age mismatch",""))</f>
        <v>Sex/age mismatch</v>
      </c>
    </row>
    <row r="6" customFormat="false" ht="15" hidden="false" customHeight="false" outlineLevel="0" collapsed="false">
      <c r="A6" s="10" t="s">
        <v>153</v>
      </c>
      <c r="B6" s="10" t="s">
        <v>154</v>
      </c>
      <c r="C6" s="10" t="s">
        <v>155</v>
      </c>
      <c r="D6" s="10" t="s">
        <v>132</v>
      </c>
      <c r="E6" s="10" t="n">
        <v>2023</v>
      </c>
      <c r="F6" s="10" t="s">
        <v>108</v>
      </c>
      <c r="G6" s="10" t="s">
        <v>109</v>
      </c>
      <c r="H6" s="10" t="s">
        <v>156</v>
      </c>
      <c r="I6" s="10" t="s">
        <v>157</v>
      </c>
      <c r="J6" s="10" t="s">
        <v>158</v>
      </c>
      <c r="K6" s="10" t="s">
        <v>113</v>
      </c>
      <c r="L6" s="10" t="s">
        <v>159</v>
      </c>
      <c r="M6" s="10" t="s">
        <v>139</v>
      </c>
      <c r="N6" s="10" t="s">
        <v>160</v>
      </c>
      <c r="O6" s="10" t="s">
        <v>141</v>
      </c>
      <c r="P6" s="10" t="n">
        <f aca="false">Settings!$B$5-E6</f>
        <v>3</v>
      </c>
      <c r="Q6" s="10" t="str">
        <f aca="false">IF(AND(OR(D6="Colt",D6="Filly"),P6&gt;Settings!$B$11),"Sex/age mismatch",IF(AND(OR(D6="Stallion",D6="Mare"),P6&lt;=Settings!$B$11),"Sex/age mismatch",""))</f>
        <v>Sex/age mismatch</v>
      </c>
    </row>
    <row r="7" customFormat="false" ht="15" hidden="false" customHeight="false" outlineLevel="0" collapsed="false">
      <c r="A7" s="10" t="s">
        <v>161</v>
      </c>
      <c r="B7" s="10" t="s">
        <v>162</v>
      </c>
      <c r="C7" s="10" t="s">
        <v>163</v>
      </c>
      <c r="D7" s="10" t="s">
        <v>107</v>
      </c>
      <c r="E7" s="10" t="n">
        <v>2021</v>
      </c>
      <c r="F7" s="10" t="s">
        <v>164</v>
      </c>
      <c r="G7" s="10" t="s">
        <v>133</v>
      </c>
      <c r="H7" s="10" t="s">
        <v>156</v>
      </c>
      <c r="I7" s="10" t="s">
        <v>157</v>
      </c>
      <c r="J7" s="10" t="s">
        <v>165</v>
      </c>
      <c r="K7" s="10" t="s">
        <v>166</v>
      </c>
      <c r="L7" s="10" t="s">
        <v>159</v>
      </c>
      <c r="M7" s="10" t="s">
        <v>167</v>
      </c>
      <c r="N7" s="10" t="s">
        <v>128</v>
      </c>
      <c r="O7" s="10" t="s">
        <v>152</v>
      </c>
      <c r="P7" s="10" t="n">
        <f aca="false">Settings!$B$5-E7</f>
        <v>5</v>
      </c>
      <c r="Q7" s="10" t="str">
        <f aca="false">IF(AND(OR(D7="Colt",D7="Filly"),P7&gt;Settings!$B$11),"Sex/age mismatch",IF(AND(OR(D7="Stallion",D7="Mare"),P7&lt;=Settings!$B$11),"Sex/age mismatch",""))</f>
        <v/>
      </c>
    </row>
    <row r="8" customFormat="false" ht="15" hidden="false" customHeight="false" outlineLevel="0" collapsed="false">
      <c r="A8" s="10" t="s">
        <v>168</v>
      </c>
      <c r="B8" s="10" t="s">
        <v>169</v>
      </c>
      <c r="C8" s="10" t="s">
        <v>170</v>
      </c>
      <c r="D8" s="10" t="s">
        <v>107</v>
      </c>
      <c r="E8" s="10" t="n">
        <v>2023</v>
      </c>
      <c r="F8" s="10" t="s">
        <v>108</v>
      </c>
      <c r="G8" s="10" t="s">
        <v>133</v>
      </c>
      <c r="H8" s="10" t="s">
        <v>124</v>
      </c>
      <c r="I8" s="10" t="s">
        <v>171</v>
      </c>
      <c r="J8" s="10" t="s">
        <v>172</v>
      </c>
      <c r="K8" s="10" t="s">
        <v>173</v>
      </c>
      <c r="L8" s="10" t="s">
        <v>174</v>
      </c>
      <c r="M8" s="10" t="s">
        <v>167</v>
      </c>
      <c r="N8" s="10" t="s">
        <v>116</v>
      </c>
      <c r="O8" s="10" t="s">
        <v>175</v>
      </c>
      <c r="P8" s="10" t="n">
        <f aca="false">Settings!$B$5-E8</f>
        <v>3</v>
      </c>
      <c r="Q8" s="10" t="str">
        <f aca="false">IF(AND(OR(D8="Colt",D8="Filly"),P8&gt;Settings!$B$11),"Sex/age mismatch",IF(AND(OR(D8="Stallion",D8="Mare"),P8&lt;=Settings!$B$11),"Sex/age mismatch",""))</f>
        <v/>
      </c>
    </row>
    <row r="9" customFormat="false" ht="15" hidden="false" customHeight="false" outlineLevel="0" collapsed="false">
      <c r="A9" s="10" t="s">
        <v>176</v>
      </c>
      <c r="B9" s="10" t="s">
        <v>177</v>
      </c>
      <c r="C9" s="10" t="s">
        <v>178</v>
      </c>
      <c r="D9" s="10" t="s">
        <v>145</v>
      </c>
      <c r="E9" s="10" t="n">
        <v>2024</v>
      </c>
      <c r="F9" s="10" t="s">
        <v>122</v>
      </c>
      <c r="G9" s="10" t="s">
        <v>146</v>
      </c>
      <c r="H9" s="10" t="s">
        <v>156</v>
      </c>
      <c r="I9" s="10" t="s">
        <v>135</v>
      </c>
      <c r="J9" s="10" t="s">
        <v>179</v>
      </c>
      <c r="K9" s="10" t="s">
        <v>113</v>
      </c>
      <c r="L9" s="10" t="s">
        <v>138</v>
      </c>
      <c r="M9" s="10" t="s">
        <v>151</v>
      </c>
      <c r="N9" s="10" t="s">
        <v>116</v>
      </c>
      <c r="O9" s="10" t="s">
        <v>175</v>
      </c>
      <c r="P9" s="10" t="n">
        <f aca="false">Settings!$B$5-E9</f>
        <v>2</v>
      </c>
      <c r="Q9" s="10" t="str">
        <f aca="false">IF(AND(OR(D9="Colt",D9="Filly"),P9&gt;Settings!$B$11),"Sex/age mismatch",IF(AND(OR(D9="Stallion",D9="Mare"),P9&lt;=Settings!$B$11),"Sex/age mismatch",""))</f>
        <v>Sex/age mismatch</v>
      </c>
    </row>
    <row r="10" customFormat="false" ht="15" hidden="false" customHeight="false" outlineLevel="0" collapsed="false">
      <c r="A10" s="10" t="s">
        <v>180</v>
      </c>
      <c r="B10" s="10" t="s">
        <v>181</v>
      </c>
      <c r="C10" s="10" t="s">
        <v>182</v>
      </c>
      <c r="D10" s="10" t="s">
        <v>121</v>
      </c>
      <c r="E10" s="10" t="n">
        <v>2024</v>
      </c>
      <c r="F10" s="10" t="s">
        <v>122</v>
      </c>
      <c r="G10" s="10" t="s">
        <v>109</v>
      </c>
      <c r="H10" s="10" t="s">
        <v>124</v>
      </c>
      <c r="I10" s="10" t="s">
        <v>111</v>
      </c>
      <c r="J10" s="10" t="s">
        <v>183</v>
      </c>
      <c r="K10" s="10" t="s">
        <v>184</v>
      </c>
      <c r="L10" s="10" t="s">
        <v>114</v>
      </c>
      <c r="M10" s="10" t="s">
        <v>115</v>
      </c>
      <c r="N10" s="10" t="s">
        <v>140</v>
      </c>
      <c r="O10" s="10" t="s">
        <v>175</v>
      </c>
      <c r="P10" s="10" t="n">
        <f aca="false">Settings!$B$5-E10</f>
        <v>2</v>
      </c>
      <c r="Q10" s="10" t="str">
        <f aca="false">IF(AND(OR(D10="Colt",D10="Filly"),P10&gt;Settings!$B$11),"Sex/age mismatch",IF(AND(OR(D10="Stallion",D10="Mare"),P10&lt;=Settings!$B$11),"Sex/age mismatch",""))</f>
        <v/>
      </c>
    </row>
    <row r="11" customFormat="false" ht="15" hidden="false" customHeight="false" outlineLevel="0" collapsed="false">
      <c r="A11" s="10" t="s">
        <v>185</v>
      </c>
      <c r="B11" s="10" t="s">
        <v>186</v>
      </c>
      <c r="C11" s="10" t="s">
        <v>187</v>
      </c>
      <c r="D11" s="10" t="s">
        <v>145</v>
      </c>
      <c r="E11" s="10" t="n">
        <v>2024</v>
      </c>
      <c r="F11" s="10" t="s">
        <v>122</v>
      </c>
      <c r="G11" s="10" t="s">
        <v>188</v>
      </c>
      <c r="H11" s="10" t="s">
        <v>156</v>
      </c>
      <c r="I11" s="10" t="s">
        <v>171</v>
      </c>
      <c r="J11" s="10" t="s">
        <v>189</v>
      </c>
      <c r="K11" s="10" t="s">
        <v>190</v>
      </c>
      <c r="L11" s="10" t="s">
        <v>174</v>
      </c>
      <c r="M11" s="10" t="s">
        <v>115</v>
      </c>
      <c r="N11" s="10" t="s">
        <v>140</v>
      </c>
      <c r="O11" s="10" t="s">
        <v>152</v>
      </c>
      <c r="P11" s="10" t="n">
        <f aca="false">Settings!$B$5-E11</f>
        <v>2</v>
      </c>
      <c r="Q11" s="10" t="str">
        <f aca="false">IF(AND(OR(D11="Colt",D11="Filly"),P11&gt;Settings!$B$11),"Sex/age mismatch",IF(AND(OR(D11="Stallion",D11="Mare"),P11&lt;=Settings!$B$11),"Sex/age mismatch",""))</f>
        <v>Sex/age mismatch</v>
      </c>
    </row>
    <row r="12" customFormat="false" ht="15" hidden="false" customHeight="false" outlineLevel="0" collapsed="false">
      <c r="A12" s="10" t="s">
        <v>191</v>
      </c>
      <c r="B12" s="10" t="s">
        <v>192</v>
      </c>
      <c r="C12" s="10" t="s">
        <v>193</v>
      </c>
      <c r="D12" s="10" t="s">
        <v>132</v>
      </c>
      <c r="E12" s="10" t="n">
        <v>2020</v>
      </c>
      <c r="F12" s="10" t="s">
        <v>164</v>
      </c>
      <c r="G12" s="10" t="s">
        <v>146</v>
      </c>
      <c r="H12" s="10" t="s">
        <v>124</v>
      </c>
      <c r="I12" s="10" t="s">
        <v>157</v>
      </c>
      <c r="J12" s="10" t="s">
        <v>194</v>
      </c>
      <c r="K12" s="10" t="s">
        <v>195</v>
      </c>
      <c r="L12" s="10" t="s">
        <v>159</v>
      </c>
      <c r="M12" s="10" t="s">
        <v>139</v>
      </c>
      <c r="N12" s="10" t="s">
        <v>196</v>
      </c>
      <c r="O12" s="10" t="s">
        <v>197</v>
      </c>
      <c r="P12" s="10" t="n">
        <f aca="false">Settings!$B$5-E12</f>
        <v>6</v>
      </c>
      <c r="Q12" s="10" t="str">
        <f aca="false">IF(AND(OR(D12="Colt",D12="Filly"),P12&gt;Settings!$B$11),"Sex/age mismatch",IF(AND(OR(D12="Stallion",D12="Mare"),P12&lt;=Settings!$B$11),"Sex/age mismatch",""))</f>
        <v/>
      </c>
    </row>
    <row r="13" customFormat="false" ht="15" hidden="false" customHeight="false" outlineLevel="0" collapsed="false">
      <c r="A13" s="10" t="s">
        <v>198</v>
      </c>
      <c r="B13" s="10" t="s">
        <v>199</v>
      </c>
      <c r="C13" s="10" t="s">
        <v>200</v>
      </c>
      <c r="D13" s="10" t="s">
        <v>107</v>
      </c>
      <c r="E13" s="10" t="n">
        <v>2024</v>
      </c>
      <c r="F13" s="10" t="s">
        <v>122</v>
      </c>
      <c r="G13" s="10" t="s">
        <v>123</v>
      </c>
      <c r="H13" s="10" t="s">
        <v>201</v>
      </c>
      <c r="I13" s="10" t="s">
        <v>171</v>
      </c>
      <c r="J13" s="10" t="s">
        <v>202</v>
      </c>
      <c r="K13" s="10" t="s">
        <v>195</v>
      </c>
      <c r="L13" s="10" t="s">
        <v>174</v>
      </c>
      <c r="M13" s="10" t="s">
        <v>115</v>
      </c>
      <c r="N13" s="10" t="s">
        <v>160</v>
      </c>
      <c r="O13" s="10" t="s">
        <v>152</v>
      </c>
      <c r="P13" s="10" t="n">
        <f aca="false">Settings!$B$5-E13</f>
        <v>2</v>
      </c>
      <c r="Q13" s="10" t="str">
        <f aca="false">IF(AND(OR(D13="Colt",D13="Filly"),P13&gt;Settings!$B$11),"Sex/age mismatch",IF(AND(OR(D13="Stallion",D13="Mare"),P13&lt;=Settings!$B$11),"Sex/age mismatch",""))</f>
        <v/>
      </c>
    </row>
    <row r="14" customFormat="false" ht="15" hidden="false" customHeight="false" outlineLevel="0" collapsed="false">
      <c r="A14" s="10" t="s">
        <v>203</v>
      </c>
      <c r="B14" s="10" t="s">
        <v>204</v>
      </c>
      <c r="C14" s="10" t="s">
        <v>205</v>
      </c>
      <c r="D14" s="10" t="s">
        <v>145</v>
      </c>
      <c r="E14" s="10" t="n">
        <v>2024</v>
      </c>
      <c r="F14" s="10" t="s">
        <v>122</v>
      </c>
      <c r="G14" s="10" t="s">
        <v>206</v>
      </c>
      <c r="H14" s="10" t="s">
        <v>110</v>
      </c>
      <c r="I14" s="10" t="s">
        <v>157</v>
      </c>
      <c r="J14" s="10" t="s">
        <v>207</v>
      </c>
      <c r="K14" s="10" t="s">
        <v>190</v>
      </c>
      <c r="L14" s="10" t="s">
        <v>159</v>
      </c>
      <c r="M14" s="10" t="s">
        <v>167</v>
      </c>
      <c r="N14" s="10" t="s">
        <v>140</v>
      </c>
      <c r="O14" s="10" t="s">
        <v>208</v>
      </c>
      <c r="P14" s="10" t="n">
        <f aca="false">Settings!$B$5-E14</f>
        <v>2</v>
      </c>
      <c r="Q14" s="10" t="str">
        <f aca="false">IF(AND(OR(D14="Colt",D14="Filly"),P14&gt;Settings!$B$11),"Sex/age mismatch",IF(AND(OR(D14="Stallion",D14="Mare"),P14&lt;=Settings!$B$11),"Sex/age mismatch",""))</f>
        <v>Sex/age mismatch</v>
      </c>
    </row>
    <row r="15" customFormat="false" ht="15" hidden="false" customHeight="false" outlineLevel="0" collapsed="false">
      <c r="A15" s="10" t="s">
        <v>209</v>
      </c>
      <c r="B15" s="10" t="s">
        <v>210</v>
      </c>
      <c r="C15" s="10" t="s">
        <v>211</v>
      </c>
      <c r="D15" s="10" t="s">
        <v>212</v>
      </c>
      <c r="E15" s="10" t="n">
        <v>2024</v>
      </c>
      <c r="F15" s="10" t="s">
        <v>122</v>
      </c>
      <c r="G15" s="10" t="s">
        <v>206</v>
      </c>
      <c r="H15" s="10" t="s">
        <v>124</v>
      </c>
      <c r="I15" s="10" t="s">
        <v>157</v>
      </c>
      <c r="J15" s="10" t="s">
        <v>213</v>
      </c>
      <c r="K15" s="10" t="s">
        <v>184</v>
      </c>
      <c r="L15" s="10" t="s">
        <v>159</v>
      </c>
      <c r="M15" s="10" t="s">
        <v>151</v>
      </c>
      <c r="N15" s="10" t="s">
        <v>116</v>
      </c>
      <c r="O15" s="10" t="s">
        <v>175</v>
      </c>
      <c r="P15" s="10" t="n">
        <f aca="false">Settings!$B$5-E15</f>
        <v>2</v>
      </c>
      <c r="Q15" s="10" t="str">
        <f aca="false">IF(AND(OR(D15="Colt",D15="Filly"),P15&gt;Settings!$B$11),"Sex/age mismatch",IF(AND(OR(D15="Stallion",D15="Mare"),P15&lt;=Settings!$B$11),"Sex/age mismatch",""))</f>
        <v/>
      </c>
    </row>
    <row r="16" customFormat="false" ht="15" hidden="false" customHeight="false" outlineLevel="0" collapsed="false">
      <c r="A16" s="10" t="s">
        <v>214</v>
      </c>
      <c r="B16" s="10" t="s">
        <v>215</v>
      </c>
      <c r="C16" s="10" t="s">
        <v>216</v>
      </c>
      <c r="D16" s="10" t="s">
        <v>132</v>
      </c>
      <c r="E16" s="10" t="n">
        <v>2020</v>
      </c>
      <c r="F16" s="10" t="s">
        <v>164</v>
      </c>
      <c r="G16" s="10" t="s">
        <v>109</v>
      </c>
      <c r="H16" s="10" t="s">
        <v>134</v>
      </c>
      <c r="I16" s="10" t="s">
        <v>135</v>
      </c>
      <c r="J16" s="10" t="s">
        <v>217</v>
      </c>
      <c r="K16" s="10" t="s">
        <v>195</v>
      </c>
      <c r="L16" s="10" t="s">
        <v>138</v>
      </c>
      <c r="M16" s="10" t="s">
        <v>167</v>
      </c>
      <c r="N16" s="10" t="s">
        <v>160</v>
      </c>
      <c r="O16" s="10" t="s">
        <v>197</v>
      </c>
      <c r="P16" s="10" t="n">
        <f aca="false">Settings!$B$5-E16</f>
        <v>6</v>
      </c>
      <c r="Q16" s="10" t="str">
        <f aca="false">IF(AND(OR(D16="Colt",D16="Filly"),P16&gt;Settings!$B$11),"Sex/age mismatch",IF(AND(OR(D16="Stallion",D16="Mare"),P16&lt;=Settings!$B$11),"Sex/age mismatch",""))</f>
        <v/>
      </c>
    </row>
    <row r="17" customFormat="false" ht="15" hidden="false" customHeight="false" outlineLevel="0" collapsed="false">
      <c r="A17" s="10" t="s">
        <v>218</v>
      </c>
      <c r="B17" s="10" t="s">
        <v>219</v>
      </c>
      <c r="C17" s="10" t="s">
        <v>220</v>
      </c>
      <c r="D17" s="10" t="s">
        <v>145</v>
      </c>
      <c r="E17" s="10" t="n">
        <v>2021</v>
      </c>
      <c r="F17" s="10" t="s">
        <v>164</v>
      </c>
      <c r="G17" s="10" t="s">
        <v>109</v>
      </c>
      <c r="H17" s="10" t="s">
        <v>156</v>
      </c>
      <c r="I17" s="10" t="s">
        <v>147</v>
      </c>
      <c r="J17" s="10" t="s">
        <v>221</v>
      </c>
      <c r="K17" s="10" t="s">
        <v>166</v>
      </c>
      <c r="L17" s="10" t="s">
        <v>150</v>
      </c>
      <c r="M17" s="10" t="s">
        <v>127</v>
      </c>
      <c r="N17" s="10" t="s">
        <v>196</v>
      </c>
      <c r="O17" s="10" t="s">
        <v>141</v>
      </c>
      <c r="P17" s="10" t="n">
        <f aca="false">Settings!$B$5-E17</f>
        <v>5</v>
      </c>
      <c r="Q17" s="10" t="str">
        <f aca="false">IF(AND(OR(D17="Colt",D17="Filly"),P17&gt;Settings!$B$11),"Sex/age mismatch",IF(AND(OR(D17="Stallion",D17="Mare"),P17&lt;=Settings!$B$11),"Sex/age mismatch",""))</f>
        <v/>
      </c>
    </row>
    <row r="18" customFormat="false" ht="15" hidden="false" customHeight="false" outlineLevel="0" collapsed="false">
      <c r="A18" s="10" t="s">
        <v>222</v>
      </c>
      <c r="B18" s="10" t="s">
        <v>223</v>
      </c>
      <c r="C18" s="10" t="s">
        <v>224</v>
      </c>
      <c r="D18" s="10" t="s">
        <v>121</v>
      </c>
      <c r="E18" s="10" t="n">
        <v>2022</v>
      </c>
      <c r="F18" s="10" t="s">
        <v>108</v>
      </c>
      <c r="G18" s="10" t="s">
        <v>146</v>
      </c>
      <c r="H18" s="10" t="s">
        <v>201</v>
      </c>
      <c r="I18" s="10" t="s">
        <v>147</v>
      </c>
      <c r="J18" s="10" t="s">
        <v>225</v>
      </c>
      <c r="K18" s="10" t="s">
        <v>226</v>
      </c>
      <c r="L18" s="10" t="s">
        <v>150</v>
      </c>
      <c r="M18" s="10" t="s">
        <v>115</v>
      </c>
      <c r="N18" s="10" t="s">
        <v>196</v>
      </c>
      <c r="O18" s="10" t="s">
        <v>117</v>
      </c>
      <c r="P18" s="10" t="n">
        <f aca="false">Settings!$B$5-E18</f>
        <v>4</v>
      </c>
      <c r="Q18" s="10" t="str">
        <f aca="false">IF(AND(OR(D18="Colt",D18="Filly"),P18&gt;Settings!$B$11),"Sex/age mismatch",IF(AND(OR(D18="Stallion",D18="Mare"),P18&lt;=Settings!$B$11),"Sex/age mismatch",""))</f>
        <v>Sex/age mismatch</v>
      </c>
    </row>
    <row r="19" customFormat="false" ht="15" hidden="false" customHeight="false" outlineLevel="0" collapsed="false">
      <c r="A19" s="10" t="s">
        <v>227</v>
      </c>
      <c r="B19" s="10" t="s">
        <v>228</v>
      </c>
      <c r="C19" s="10" t="s">
        <v>229</v>
      </c>
      <c r="D19" s="10" t="s">
        <v>212</v>
      </c>
      <c r="E19" s="10" t="n">
        <v>2024</v>
      </c>
      <c r="F19" s="10" t="s">
        <v>122</v>
      </c>
      <c r="G19" s="10" t="s">
        <v>109</v>
      </c>
      <c r="H19" s="10" t="s">
        <v>124</v>
      </c>
      <c r="I19" s="10" t="s">
        <v>171</v>
      </c>
      <c r="J19" s="10" t="s">
        <v>230</v>
      </c>
      <c r="K19" s="10" t="s">
        <v>184</v>
      </c>
      <c r="L19" s="10" t="s">
        <v>174</v>
      </c>
      <c r="M19" s="10" t="s">
        <v>115</v>
      </c>
      <c r="N19" s="10" t="s">
        <v>128</v>
      </c>
      <c r="O19" s="10" t="s">
        <v>141</v>
      </c>
      <c r="P19" s="10" t="n">
        <f aca="false">Settings!$B$5-E19</f>
        <v>2</v>
      </c>
      <c r="Q19" s="10" t="str">
        <f aca="false">IF(AND(OR(D19="Colt",D19="Filly"),P19&gt;Settings!$B$11),"Sex/age mismatch",IF(AND(OR(D19="Stallion",D19="Mare"),P19&lt;=Settings!$B$11),"Sex/age mismatch",""))</f>
        <v/>
      </c>
    </row>
    <row r="20" customFormat="false" ht="15" hidden="false" customHeight="false" outlineLevel="0" collapsed="false">
      <c r="A20" s="10" t="s">
        <v>231</v>
      </c>
      <c r="B20" s="10" t="s">
        <v>232</v>
      </c>
      <c r="C20" s="10" t="s">
        <v>233</v>
      </c>
      <c r="D20" s="10" t="s">
        <v>212</v>
      </c>
      <c r="E20" s="10" t="n">
        <v>2020</v>
      </c>
      <c r="F20" s="10" t="s">
        <v>164</v>
      </c>
      <c r="G20" s="10" t="s">
        <v>146</v>
      </c>
      <c r="H20" s="10" t="s">
        <v>124</v>
      </c>
      <c r="I20" s="10" t="s">
        <v>135</v>
      </c>
      <c r="J20" s="10" t="s">
        <v>234</v>
      </c>
      <c r="K20" s="10" t="s">
        <v>226</v>
      </c>
      <c r="L20" s="10" t="s">
        <v>138</v>
      </c>
      <c r="M20" s="10" t="s">
        <v>151</v>
      </c>
      <c r="N20" s="10" t="s">
        <v>116</v>
      </c>
      <c r="O20" s="10" t="s">
        <v>197</v>
      </c>
      <c r="P20" s="10" t="n">
        <f aca="false">Settings!$B$5-E20</f>
        <v>6</v>
      </c>
      <c r="Q20" s="10" t="str">
        <f aca="false">IF(AND(OR(D20="Colt",D20="Filly"),P20&gt;Settings!$B$11),"Sex/age mismatch",IF(AND(OR(D20="Stallion",D20="Mare"),P20&lt;=Settings!$B$11),"Sex/age mismatch",""))</f>
        <v>Sex/age mismatch</v>
      </c>
    </row>
    <row r="21" customFormat="false" ht="15" hidden="false" customHeight="false" outlineLevel="0" collapsed="false">
      <c r="A21" s="10" t="s">
        <v>235</v>
      </c>
      <c r="B21" s="10" t="s">
        <v>236</v>
      </c>
      <c r="C21" s="10" t="s">
        <v>237</v>
      </c>
      <c r="D21" s="10" t="s">
        <v>121</v>
      </c>
      <c r="E21" s="10" t="n">
        <v>2024</v>
      </c>
      <c r="F21" s="10" t="s">
        <v>122</v>
      </c>
      <c r="G21" s="10" t="s">
        <v>109</v>
      </c>
      <c r="H21" s="10" t="s">
        <v>124</v>
      </c>
      <c r="I21" s="10" t="s">
        <v>157</v>
      </c>
      <c r="J21" s="10" t="s">
        <v>238</v>
      </c>
      <c r="K21" s="10" t="s">
        <v>149</v>
      </c>
      <c r="L21" s="10" t="s">
        <v>159</v>
      </c>
      <c r="M21" s="10" t="s">
        <v>151</v>
      </c>
      <c r="N21" s="10" t="s">
        <v>128</v>
      </c>
      <c r="O21" s="10" t="s">
        <v>175</v>
      </c>
      <c r="P21" s="10" t="n">
        <f aca="false">Settings!$B$5-E21</f>
        <v>2</v>
      </c>
      <c r="Q21" s="10" t="str">
        <f aca="false">IF(AND(OR(D21="Colt",D21="Filly"),P21&gt;Settings!$B$11),"Sex/age mismatch",IF(AND(OR(D21="Stallion",D21="Mare"),P21&lt;=Settings!$B$11),"Sex/age mismatch",""))</f>
        <v/>
      </c>
    </row>
    <row r="22" customFormat="false" ht="15" hidden="false" customHeight="false" outlineLevel="0" collapsed="false">
      <c r="A22" s="10" t="s">
        <v>239</v>
      </c>
      <c r="B22" s="10" t="s">
        <v>240</v>
      </c>
      <c r="C22" s="10" t="s">
        <v>241</v>
      </c>
      <c r="D22" s="10" t="s">
        <v>212</v>
      </c>
      <c r="E22" s="10" t="n">
        <v>2020</v>
      </c>
      <c r="F22" s="10" t="s">
        <v>164</v>
      </c>
      <c r="G22" s="10" t="s">
        <v>133</v>
      </c>
      <c r="H22" s="10" t="s">
        <v>134</v>
      </c>
      <c r="I22" s="10" t="s">
        <v>157</v>
      </c>
      <c r="J22" s="10" t="s">
        <v>136</v>
      </c>
      <c r="K22" s="10" t="s">
        <v>113</v>
      </c>
      <c r="L22" s="10" t="s">
        <v>159</v>
      </c>
      <c r="M22" s="10" t="s">
        <v>127</v>
      </c>
      <c r="N22" s="10" t="s">
        <v>116</v>
      </c>
      <c r="O22" s="10" t="s">
        <v>152</v>
      </c>
      <c r="P22" s="10" t="n">
        <f aca="false">Settings!$B$5-E22</f>
        <v>6</v>
      </c>
      <c r="Q22" s="10" t="str">
        <f aca="false">IF(AND(OR(D22="Colt",D22="Filly"),P22&gt;Settings!$B$11),"Sex/age mismatch",IF(AND(OR(D22="Stallion",D22="Mare"),P22&lt;=Settings!$B$11),"Sex/age mismatch",""))</f>
        <v>Sex/age mismatch</v>
      </c>
    </row>
    <row r="23" customFormat="false" ht="15" hidden="false" customHeight="false" outlineLevel="0" collapsed="false">
      <c r="A23" s="10" t="s">
        <v>242</v>
      </c>
      <c r="B23" s="10" t="s">
        <v>243</v>
      </c>
      <c r="C23" s="10" t="s">
        <v>244</v>
      </c>
      <c r="D23" s="10" t="s">
        <v>132</v>
      </c>
      <c r="E23" s="10" t="n">
        <v>2021</v>
      </c>
      <c r="F23" s="10" t="s">
        <v>164</v>
      </c>
      <c r="G23" s="10" t="s">
        <v>146</v>
      </c>
      <c r="H23" s="10" t="s">
        <v>201</v>
      </c>
      <c r="I23" s="10" t="s">
        <v>171</v>
      </c>
      <c r="J23" s="10" t="s">
        <v>245</v>
      </c>
      <c r="K23" s="10" t="s">
        <v>184</v>
      </c>
      <c r="L23" s="10" t="s">
        <v>174</v>
      </c>
      <c r="M23" s="10" t="s">
        <v>115</v>
      </c>
      <c r="N23" s="10" t="s">
        <v>160</v>
      </c>
      <c r="O23" s="10" t="s">
        <v>208</v>
      </c>
      <c r="P23" s="10" t="n">
        <f aca="false">Settings!$B$5-E23</f>
        <v>5</v>
      </c>
      <c r="Q23" s="10" t="str">
        <f aca="false">IF(AND(OR(D23="Colt",D23="Filly"),P23&gt;Settings!$B$11),"Sex/age mismatch",IF(AND(OR(D23="Stallion",D23="Mare"),P23&lt;=Settings!$B$11),"Sex/age mismatch",""))</f>
        <v/>
      </c>
    </row>
    <row r="24" customFormat="false" ht="15" hidden="false" customHeight="false" outlineLevel="0" collapsed="false">
      <c r="A24" s="10" t="s">
        <v>246</v>
      </c>
      <c r="B24" s="10" t="s">
        <v>247</v>
      </c>
      <c r="C24" s="10" t="s">
        <v>248</v>
      </c>
      <c r="D24" s="10" t="s">
        <v>121</v>
      </c>
      <c r="E24" s="10" t="n">
        <v>2020</v>
      </c>
      <c r="F24" s="10" t="s">
        <v>164</v>
      </c>
      <c r="G24" s="10" t="s">
        <v>206</v>
      </c>
      <c r="H24" s="10" t="s">
        <v>124</v>
      </c>
      <c r="I24" s="10" t="s">
        <v>147</v>
      </c>
      <c r="J24" s="10" t="s">
        <v>249</v>
      </c>
      <c r="K24" s="10" t="s">
        <v>195</v>
      </c>
      <c r="L24" s="10" t="s">
        <v>150</v>
      </c>
      <c r="M24" s="10" t="s">
        <v>115</v>
      </c>
      <c r="N24" s="10" t="s">
        <v>128</v>
      </c>
      <c r="O24" s="10" t="s">
        <v>175</v>
      </c>
      <c r="P24" s="10" t="n">
        <f aca="false">Settings!$B$5-E24</f>
        <v>6</v>
      </c>
      <c r="Q24" s="10" t="str">
        <f aca="false">IF(AND(OR(D24="Colt",D24="Filly"),P24&gt;Settings!$B$11),"Sex/age mismatch",IF(AND(OR(D24="Stallion",D24="Mare"),P24&lt;=Settings!$B$11),"Sex/age mismatch",""))</f>
        <v>Sex/age mismatch</v>
      </c>
    </row>
    <row r="25" customFormat="false" ht="15" hidden="false" customHeight="false" outlineLevel="0" collapsed="false">
      <c r="A25" s="10" t="s">
        <v>250</v>
      </c>
      <c r="B25" s="10" t="s">
        <v>251</v>
      </c>
      <c r="C25" s="10" t="s">
        <v>252</v>
      </c>
      <c r="D25" s="10" t="s">
        <v>121</v>
      </c>
      <c r="E25" s="10" t="n">
        <v>2021</v>
      </c>
      <c r="F25" s="10" t="s">
        <v>164</v>
      </c>
      <c r="G25" s="10" t="s">
        <v>206</v>
      </c>
      <c r="H25" s="10" t="s">
        <v>156</v>
      </c>
      <c r="I25" s="10" t="s">
        <v>171</v>
      </c>
      <c r="J25" s="10" t="s">
        <v>245</v>
      </c>
      <c r="K25" s="10" t="s">
        <v>113</v>
      </c>
      <c r="L25" s="10" t="s">
        <v>174</v>
      </c>
      <c r="M25" s="10" t="s">
        <v>127</v>
      </c>
      <c r="N25" s="10" t="s">
        <v>116</v>
      </c>
      <c r="O25" s="10" t="s">
        <v>208</v>
      </c>
      <c r="P25" s="10" t="n">
        <f aca="false">Settings!$B$5-E25</f>
        <v>5</v>
      </c>
      <c r="Q25" s="10" t="str">
        <f aca="false">IF(AND(OR(D25="Colt",D25="Filly"),P25&gt;Settings!$B$11),"Sex/age mismatch",IF(AND(OR(D25="Stallion",D25="Mare"),P25&lt;=Settings!$B$11),"Sex/age mismatch",""))</f>
        <v>Sex/age mismatch</v>
      </c>
    </row>
    <row r="26" customFormat="false" ht="15" hidden="false" customHeight="false" outlineLevel="0" collapsed="false">
      <c r="A26" s="10" t="s">
        <v>253</v>
      </c>
      <c r="B26" s="10" t="s">
        <v>254</v>
      </c>
      <c r="C26" s="10" t="s">
        <v>255</v>
      </c>
      <c r="D26" s="10" t="s">
        <v>107</v>
      </c>
      <c r="E26" s="10" t="n">
        <v>2021</v>
      </c>
      <c r="F26" s="10" t="s">
        <v>164</v>
      </c>
      <c r="G26" s="10" t="s">
        <v>188</v>
      </c>
      <c r="H26" s="10" t="s">
        <v>124</v>
      </c>
      <c r="I26" s="10" t="s">
        <v>157</v>
      </c>
      <c r="J26" s="10" t="s">
        <v>256</v>
      </c>
      <c r="K26" s="10" t="s">
        <v>113</v>
      </c>
      <c r="L26" s="10" t="s">
        <v>159</v>
      </c>
      <c r="M26" s="10" t="s">
        <v>167</v>
      </c>
      <c r="N26" s="10" t="s">
        <v>140</v>
      </c>
      <c r="O26" s="10" t="s">
        <v>175</v>
      </c>
      <c r="P26" s="10" t="n">
        <f aca="false">Settings!$B$5-E26</f>
        <v>5</v>
      </c>
      <c r="Q26" s="10" t="str">
        <f aca="false">IF(AND(OR(D26="Colt",D26="Filly"),P26&gt;Settings!$B$11),"Sex/age mismatch",IF(AND(OR(D26="Stallion",D26="Mare"),P26&lt;=Settings!$B$11),"Sex/age mismatch",""))</f>
        <v/>
      </c>
    </row>
    <row r="27" customFormat="false" ht="15" hidden="false" customHeight="false" outlineLevel="0" collapsed="false">
      <c r="A27" s="10" t="s">
        <v>257</v>
      </c>
      <c r="B27" s="10" t="s">
        <v>258</v>
      </c>
      <c r="C27" s="10" t="s">
        <v>259</v>
      </c>
      <c r="D27" s="10" t="s">
        <v>145</v>
      </c>
      <c r="E27" s="10" t="n">
        <v>2020</v>
      </c>
      <c r="F27" s="10" t="s">
        <v>164</v>
      </c>
      <c r="G27" s="10" t="s">
        <v>206</v>
      </c>
      <c r="H27" s="10" t="s">
        <v>124</v>
      </c>
      <c r="I27" s="10" t="s">
        <v>135</v>
      </c>
      <c r="J27" s="10" t="s">
        <v>260</v>
      </c>
      <c r="K27" s="10" t="s">
        <v>190</v>
      </c>
      <c r="L27" s="10" t="s">
        <v>138</v>
      </c>
      <c r="M27" s="10" t="s">
        <v>167</v>
      </c>
      <c r="N27" s="10" t="s">
        <v>116</v>
      </c>
      <c r="O27" s="10" t="s">
        <v>117</v>
      </c>
      <c r="P27" s="10" t="n">
        <f aca="false">Settings!$B$5-E27</f>
        <v>6</v>
      </c>
      <c r="Q27" s="10" t="str">
        <f aca="false">IF(AND(OR(D27="Colt",D27="Filly"),P27&gt;Settings!$B$11),"Sex/age mismatch",IF(AND(OR(D27="Stallion",D27="Mare"),P27&lt;=Settings!$B$11),"Sex/age mismatch",""))</f>
        <v/>
      </c>
    </row>
    <row r="28" customFormat="false" ht="15" hidden="false" customHeight="false" outlineLevel="0" collapsed="false">
      <c r="A28" s="10" t="s">
        <v>261</v>
      </c>
      <c r="B28" s="10" t="s">
        <v>262</v>
      </c>
      <c r="C28" s="10" t="s">
        <v>263</v>
      </c>
      <c r="D28" s="10" t="s">
        <v>107</v>
      </c>
      <c r="E28" s="10" t="n">
        <v>2024</v>
      </c>
      <c r="F28" s="10" t="s">
        <v>122</v>
      </c>
      <c r="G28" s="10" t="s">
        <v>146</v>
      </c>
      <c r="H28" s="10" t="s">
        <v>110</v>
      </c>
      <c r="I28" s="10" t="s">
        <v>147</v>
      </c>
      <c r="J28" s="10" t="s">
        <v>264</v>
      </c>
      <c r="K28" s="10" t="s">
        <v>149</v>
      </c>
      <c r="L28" s="10" t="s">
        <v>150</v>
      </c>
      <c r="M28" s="10" t="s">
        <v>265</v>
      </c>
      <c r="N28" s="10" t="s">
        <v>140</v>
      </c>
      <c r="O28" s="10" t="s">
        <v>208</v>
      </c>
      <c r="P28" s="10" t="n">
        <f aca="false">Settings!$B$5-E28</f>
        <v>2</v>
      </c>
      <c r="Q28" s="10" t="str">
        <f aca="false">IF(AND(OR(D28="Colt",D28="Filly"),P28&gt;Settings!$B$11),"Sex/age mismatch",IF(AND(OR(D28="Stallion",D28="Mare"),P28&lt;=Settings!$B$11),"Sex/age mismatch",""))</f>
        <v/>
      </c>
    </row>
    <row r="29" customFormat="false" ht="15" hidden="false" customHeight="false" outlineLevel="0" collapsed="false">
      <c r="A29" s="10" t="s">
        <v>266</v>
      </c>
      <c r="B29" s="10" t="s">
        <v>267</v>
      </c>
      <c r="C29" s="10" t="s">
        <v>268</v>
      </c>
      <c r="D29" s="10" t="s">
        <v>121</v>
      </c>
      <c r="E29" s="10" t="n">
        <v>2020</v>
      </c>
      <c r="F29" s="10" t="s">
        <v>164</v>
      </c>
      <c r="G29" s="10" t="s">
        <v>206</v>
      </c>
      <c r="H29" s="10" t="s">
        <v>156</v>
      </c>
      <c r="I29" s="10" t="s">
        <v>147</v>
      </c>
      <c r="J29" s="10" t="s">
        <v>269</v>
      </c>
      <c r="K29" s="10" t="s">
        <v>166</v>
      </c>
      <c r="L29" s="10" t="s">
        <v>150</v>
      </c>
      <c r="M29" s="10" t="s">
        <v>115</v>
      </c>
      <c r="N29" s="10" t="s">
        <v>160</v>
      </c>
      <c r="O29" s="10" t="s">
        <v>152</v>
      </c>
      <c r="P29" s="10" t="n">
        <f aca="false">Settings!$B$5-E29</f>
        <v>6</v>
      </c>
      <c r="Q29" s="10" t="str">
        <f aca="false">IF(AND(OR(D29="Colt",D29="Filly"),P29&gt;Settings!$B$11),"Sex/age mismatch",IF(AND(OR(D29="Stallion",D29="Mare"),P29&lt;=Settings!$B$11),"Sex/age mismatch",""))</f>
        <v>Sex/age mismatch</v>
      </c>
    </row>
    <row r="30" customFormat="false" ht="15" hidden="false" customHeight="false" outlineLevel="0" collapsed="false">
      <c r="A30" s="10" t="s">
        <v>270</v>
      </c>
      <c r="B30" s="10" t="s">
        <v>271</v>
      </c>
      <c r="C30" s="10" t="s">
        <v>272</v>
      </c>
      <c r="D30" s="10" t="s">
        <v>107</v>
      </c>
      <c r="E30" s="10" t="n">
        <v>2021</v>
      </c>
      <c r="F30" s="10" t="s">
        <v>164</v>
      </c>
      <c r="G30" s="10" t="s">
        <v>146</v>
      </c>
      <c r="H30" s="10" t="s">
        <v>124</v>
      </c>
      <c r="I30" s="10" t="s">
        <v>111</v>
      </c>
      <c r="J30" s="10" t="s">
        <v>256</v>
      </c>
      <c r="K30" s="10" t="s">
        <v>190</v>
      </c>
      <c r="L30" s="10" t="s">
        <v>114</v>
      </c>
      <c r="M30" s="10" t="s">
        <v>151</v>
      </c>
      <c r="N30" s="10" t="s">
        <v>140</v>
      </c>
      <c r="O30" s="10" t="s">
        <v>197</v>
      </c>
      <c r="P30" s="10" t="n">
        <f aca="false">Settings!$B$5-E30</f>
        <v>5</v>
      </c>
      <c r="Q30" s="10" t="str">
        <f aca="false">IF(AND(OR(D30="Colt",D30="Filly"),P30&gt;Settings!$B$11),"Sex/age mismatch",IF(AND(OR(D30="Stallion",D30="Mare"),P30&lt;=Settings!$B$11),"Sex/age mismatch",""))</f>
        <v/>
      </c>
    </row>
    <row r="31" customFormat="false" ht="15" hidden="false" customHeight="false" outlineLevel="0" collapsed="false">
      <c r="A31" s="10" t="s">
        <v>273</v>
      </c>
      <c r="B31" s="10" t="s">
        <v>274</v>
      </c>
      <c r="C31" s="10" t="s">
        <v>275</v>
      </c>
      <c r="D31" s="10" t="s">
        <v>212</v>
      </c>
      <c r="E31" s="10" t="n">
        <v>2024</v>
      </c>
      <c r="F31" s="10" t="s">
        <v>122</v>
      </c>
      <c r="G31" s="10" t="s">
        <v>109</v>
      </c>
      <c r="H31" s="10" t="s">
        <v>134</v>
      </c>
      <c r="I31" s="10" t="s">
        <v>111</v>
      </c>
      <c r="J31" s="10" t="s">
        <v>276</v>
      </c>
      <c r="K31" s="10" t="s">
        <v>166</v>
      </c>
      <c r="L31" s="10" t="s">
        <v>114</v>
      </c>
      <c r="M31" s="10" t="s">
        <v>167</v>
      </c>
      <c r="N31" s="10" t="s">
        <v>196</v>
      </c>
      <c r="O31" s="10" t="s">
        <v>208</v>
      </c>
      <c r="P31" s="10" t="n">
        <f aca="false">Settings!$B$5-E31</f>
        <v>2</v>
      </c>
      <c r="Q31" s="10" t="str">
        <f aca="false">IF(AND(OR(D31="Colt",D31="Filly"),P31&gt;Settings!$B$11),"Sex/age mismatch",IF(AND(OR(D31="Stallion",D31="Mare"),P31&lt;=Settings!$B$11),"Sex/age mismatch",""))</f>
        <v/>
      </c>
    </row>
    <row r="32" customFormat="false" ht="15" hidden="false" customHeight="false" outlineLevel="0" collapsed="false">
      <c r="A32" s="10" t="s">
        <v>277</v>
      </c>
      <c r="B32" s="10" t="s">
        <v>278</v>
      </c>
      <c r="C32" s="10" t="s">
        <v>279</v>
      </c>
      <c r="D32" s="10" t="s">
        <v>121</v>
      </c>
      <c r="E32" s="10" t="n">
        <v>2020</v>
      </c>
      <c r="F32" s="10" t="s">
        <v>164</v>
      </c>
      <c r="G32" s="10" t="s">
        <v>109</v>
      </c>
      <c r="H32" s="10" t="s">
        <v>201</v>
      </c>
      <c r="I32" s="10" t="s">
        <v>147</v>
      </c>
      <c r="J32" s="10" t="s">
        <v>280</v>
      </c>
      <c r="K32" s="10" t="s">
        <v>184</v>
      </c>
      <c r="L32" s="10" t="s">
        <v>150</v>
      </c>
      <c r="M32" s="10" t="s">
        <v>265</v>
      </c>
      <c r="N32" s="10" t="s">
        <v>116</v>
      </c>
      <c r="O32" s="10" t="s">
        <v>141</v>
      </c>
      <c r="P32" s="10" t="n">
        <f aca="false">Settings!$B$5-E32</f>
        <v>6</v>
      </c>
      <c r="Q32" s="10" t="str">
        <f aca="false">IF(AND(OR(D32="Colt",D32="Filly"),P32&gt;Settings!$B$11),"Sex/age mismatch",IF(AND(OR(D32="Stallion",D32="Mare"),P32&lt;=Settings!$B$11),"Sex/age mismatch",""))</f>
        <v>Sex/age mismatch</v>
      </c>
    </row>
    <row r="33" customFormat="false" ht="15" hidden="false" customHeight="false" outlineLevel="0" collapsed="false">
      <c r="A33" s="10" t="s">
        <v>281</v>
      </c>
      <c r="B33" s="10" t="s">
        <v>282</v>
      </c>
      <c r="C33" s="10" t="s">
        <v>283</v>
      </c>
      <c r="D33" s="10" t="s">
        <v>145</v>
      </c>
      <c r="E33" s="10" t="n">
        <v>2021</v>
      </c>
      <c r="F33" s="10" t="s">
        <v>164</v>
      </c>
      <c r="G33" s="10" t="s">
        <v>109</v>
      </c>
      <c r="H33" s="10" t="s">
        <v>156</v>
      </c>
      <c r="I33" s="10" t="s">
        <v>171</v>
      </c>
      <c r="J33" s="10" t="s">
        <v>284</v>
      </c>
      <c r="K33" s="10" t="s">
        <v>226</v>
      </c>
      <c r="L33" s="10" t="s">
        <v>174</v>
      </c>
      <c r="M33" s="10" t="s">
        <v>139</v>
      </c>
      <c r="N33" s="10" t="s">
        <v>116</v>
      </c>
      <c r="O33" s="10" t="s">
        <v>175</v>
      </c>
      <c r="P33" s="10" t="n">
        <f aca="false">Settings!$B$5-E33</f>
        <v>5</v>
      </c>
      <c r="Q33" s="10" t="str">
        <f aca="false">IF(AND(OR(D33="Colt",D33="Filly"),P33&gt;Settings!$B$11),"Sex/age mismatch",IF(AND(OR(D33="Stallion",D33="Mare"),P33&lt;=Settings!$B$11),"Sex/age mismatch",""))</f>
        <v/>
      </c>
    </row>
    <row r="34" customFormat="false" ht="15" hidden="false" customHeight="false" outlineLevel="0" collapsed="false">
      <c r="A34" s="10" t="s">
        <v>285</v>
      </c>
      <c r="B34" s="10" t="s">
        <v>286</v>
      </c>
      <c r="C34" s="10" t="s">
        <v>287</v>
      </c>
      <c r="D34" s="10" t="s">
        <v>132</v>
      </c>
      <c r="E34" s="10" t="n">
        <v>2024</v>
      </c>
      <c r="F34" s="10" t="s">
        <v>122</v>
      </c>
      <c r="G34" s="10" t="s">
        <v>146</v>
      </c>
      <c r="H34" s="10" t="s">
        <v>110</v>
      </c>
      <c r="I34" s="10" t="s">
        <v>111</v>
      </c>
      <c r="J34" s="10" t="s">
        <v>207</v>
      </c>
      <c r="K34" s="10" t="s">
        <v>126</v>
      </c>
      <c r="L34" s="10" t="s">
        <v>114</v>
      </c>
      <c r="M34" s="10" t="s">
        <v>167</v>
      </c>
      <c r="N34" s="10" t="s">
        <v>140</v>
      </c>
      <c r="O34" s="10" t="s">
        <v>175</v>
      </c>
      <c r="P34" s="10" t="n">
        <f aca="false">Settings!$B$5-E34</f>
        <v>2</v>
      </c>
      <c r="Q34" s="10" t="str">
        <f aca="false">IF(AND(OR(D34="Colt",D34="Filly"),P34&gt;Settings!$B$11),"Sex/age mismatch",IF(AND(OR(D34="Stallion",D34="Mare"),P34&lt;=Settings!$B$11),"Sex/age mismatch",""))</f>
        <v>Sex/age mismatch</v>
      </c>
    </row>
    <row r="35" customFormat="false" ht="15" hidden="false" customHeight="false" outlineLevel="0" collapsed="false">
      <c r="A35" s="10" t="s">
        <v>288</v>
      </c>
      <c r="B35" s="10" t="s">
        <v>289</v>
      </c>
      <c r="C35" s="10" t="s">
        <v>290</v>
      </c>
      <c r="D35" s="10" t="s">
        <v>132</v>
      </c>
      <c r="E35" s="10" t="n">
        <v>2021</v>
      </c>
      <c r="F35" s="10" t="s">
        <v>164</v>
      </c>
      <c r="G35" s="10" t="s">
        <v>188</v>
      </c>
      <c r="H35" s="10" t="s">
        <v>124</v>
      </c>
      <c r="I35" s="10" t="s">
        <v>111</v>
      </c>
      <c r="J35" s="10" t="s">
        <v>291</v>
      </c>
      <c r="K35" s="10" t="s">
        <v>149</v>
      </c>
      <c r="L35" s="10" t="s">
        <v>114</v>
      </c>
      <c r="M35" s="10" t="s">
        <v>167</v>
      </c>
      <c r="N35" s="10" t="s">
        <v>128</v>
      </c>
      <c r="O35" s="10" t="s">
        <v>175</v>
      </c>
      <c r="P35" s="10" t="n">
        <f aca="false">Settings!$B$5-E35</f>
        <v>5</v>
      </c>
      <c r="Q35" s="10" t="str">
        <f aca="false">IF(AND(OR(D35="Colt",D35="Filly"),P35&gt;Settings!$B$11),"Sex/age mismatch",IF(AND(OR(D35="Stallion",D35="Mare"),P35&lt;=Settings!$B$11),"Sex/age mismatch",""))</f>
        <v/>
      </c>
    </row>
    <row r="36" customFormat="false" ht="15" hidden="false" customHeight="false" outlineLevel="0" collapsed="false">
      <c r="A36" s="10" t="s">
        <v>292</v>
      </c>
      <c r="B36" s="10" t="s">
        <v>293</v>
      </c>
      <c r="C36" s="10" t="s">
        <v>294</v>
      </c>
      <c r="D36" s="10" t="s">
        <v>132</v>
      </c>
      <c r="E36" s="10" t="n">
        <v>2021</v>
      </c>
      <c r="F36" s="10" t="s">
        <v>164</v>
      </c>
      <c r="G36" s="10" t="s">
        <v>188</v>
      </c>
      <c r="H36" s="10" t="s">
        <v>134</v>
      </c>
      <c r="I36" s="10" t="s">
        <v>111</v>
      </c>
      <c r="J36" s="10" t="s">
        <v>295</v>
      </c>
      <c r="K36" s="10" t="s">
        <v>166</v>
      </c>
      <c r="L36" s="10" t="s">
        <v>114</v>
      </c>
      <c r="M36" s="10" t="s">
        <v>115</v>
      </c>
      <c r="N36" s="10" t="s">
        <v>140</v>
      </c>
      <c r="O36" s="10" t="s">
        <v>117</v>
      </c>
      <c r="P36" s="10" t="n">
        <f aca="false">Settings!$B$5-E36</f>
        <v>5</v>
      </c>
      <c r="Q36" s="10" t="str">
        <f aca="false">IF(AND(OR(D36="Colt",D36="Filly"),P36&gt;Settings!$B$11),"Sex/age mismatch",IF(AND(OR(D36="Stallion",D36="Mare"),P36&lt;=Settings!$B$11),"Sex/age mismatch",""))</f>
        <v/>
      </c>
    </row>
    <row r="37" customFormat="false" ht="15" hidden="false" customHeight="false" outlineLevel="0" collapsed="false">
      <c r="A37" s="10" t="s">
        <v>296</v>
      </c>
      <c r="B37" s="10" t="s">
        <v>297</v>
      </c>
      <c r="C37" s="10" t="s">
        <v>298</v>
      </c>
      <c r="D37" s="10" t="s">
        <v>212</v>
      </c>
      <c r="E37" s="10" t="n">
        <v>2023</v>
      </c>
      <c r="F37" s="10" t="s">
        <v>108</v>
      </c>
      <c r="G37" s="10" t="s">
        <v>206</v>
      </c>
      <c r="H37" s="10" t="s">
        <v>124</v>
      </c>
      <c r="I37" s="10" t="s">
        <v>135</v>
      </c>
      <c r="J37" s="10" t="s">
        <v>299</v>
      </c>
      <c r="K37" s="10" t="s">
        <v>166</v>
      </c>
      <c r="L37" s="10" t="s">
        <v>138</v>
      </c>
      <c r="M37" s="10" t="s">
        <v>167</v>
      </c>
      <c r="N37" s="10" t="s">
        <v>116</v>
      </c>
      <c r="O37" s="10" t="s">
        <v>117</v>
      </c>
      <c r="P37" s="10" t="n">
        <f aca="false">Settings!$B$5-E37</f>
        <v>3</v>
      </c>
      <c r="Q37" s="10" t="str">
        <f aca="false">IF(AND(OR(D37="Colt",D37="Filly"),P37&gt;Settings!$B$11),"Sex/age mismatch",IF(AND(OR(D37="Stallion",D37="Mare"),P37&lt;=Settings!$B$11),"Sex/age mismatch",""))</f>
        <v/>
      </c>
    </row>
    <row r="38" customFormat="false" ht="15" hidden="false" customHeight="false" outlineLevel="0" collapsed="false">
      <c r="A38" s="10" t="s">
        <v>300</v>
      </c>
      <c r="B38" s="10" t="s">
        <v>301</v>
      </c>
      <c r="C38" s="10" t="s">
        <v>302</v>
      </c>
      <c r="D38" s="10" t="s">
        <v>121</v>
      </c>
      <c r="E38" s="10" t="n">
        <v>2022</v>
      </c>
      <c r="F38" s="10" t="s">
        <v>108</v>
      </c>
      <c r="G38" s="10" t="s">
        <v>188</v>
      </c>
      <c r="H38" s="10" t="s">
        <v>124</v>
      </c>
      <c r="I38" s="10" t="s">
        <v>135</v>
      </c>
      <c r="J38" s="10" t="s">
        <v>303</v>
      </c>
      <c r="K38" s="10" t="s">
        <v>113</v>
      </c>
      <c r="L38" s="10" t="s">
        <v>138</v>
      </c>
      <c r="M38" s="10" t="s">
        <v>265</v>
      </c>
      <c r="N38" s="10" t="s">
        <v>128</v>
      </c>
      <c r="O38" s="10" t="s">
        <v>117</v>
      </c>
      <c r="P38" s="10" t="n">
        <f aca="false">Settings!$B$5-E38</f>
        <v>4</v>
      </c>
      <c r="Q38" s="10" t="str">
        <f aca="false">IF(AND(OR(D38="Colt",D38="Filly"),P38&gt;Settings!$B$11),"Sex/age mismatch",IF(AND(OR(D38="Stallion",D38="Mare"),P38&lt;=Settings!$B$11),"Sex/age mismatch",""))</f>
        <v>Sex/age mismatch</v>
      </c>
    </row>
    <row r="39" customFormat="false" ht="15" hidden="false" customHeight="false" outlineLevel="0" collapsed="false">
      <c r="A39" s="10" t="s">
        <v>304</v>
      </c>
      <c r="B39" s="10" t="s">
        <v>305</v>
      </c>
      <c r="C39" s="10" t="s">
        <v>306</v>
      </c>
      <c r="D39" s="10" t="s">
        <v>212</v>
      </c>
      <c r="E39" s="10" t="n">
        <v>2020</v>
      </c>
      <c r="F39" s="10" t="s">
        <v>164</v>
      </c>
      <c r="G39" s="10" t="s">
        <v>206</v>
      </c>
      <c r="H39" s="10" t="s">
        <v>124</v>
      </c>
      <c r="I39" s="10" t="s">
        <v>135</v>
      </c>
      <c r="J39" s="10" t="s">
        <v>307</v>
      </c>
      <c r="K39" s="10" t="s">
        <v>226</v>
      </c>
      <c r="L39" s="10" t="s">
        <v>138</v>
      </c>
      <c r="M39" s="10" t="s">
        <v>127</v>
      </c>
      <c r="N39" s="10" t="s">
        <v>140</v>
      </c>
      <c r="O39" s="10" t="s">
        <v>208</v>
      </c>
      <c r="P39" s="10" t="n">
        <f aca="false">Settings!$B$5-E39</f>
        <v>6</v>
      </c>
      <c r="Q39" s="10" t="str">
        <f aca="false">IF(AND(OR(D39="Colt",D39="Filly"),P39&gt;Settings!$B$11),"Sex/age mismatch",IF(AND(OR(D39="Stallion",D39="Mare"),P39&lt;=Settings!$B$11),"Sex/age mismatch",""))</f>
        <v>Sex/age mismatch</v>
      </c>
    </row>
    <row r="40" customFormat="false" ht="15" hidden="false" customHeight="false" outlineLevel="0" collapsed="false">
      <c r="A40" s="10" t="s">
        <v>308</v>
      </c>
      <c r="B40" s="10" t="s">
        <v>309</v>
      </c>
      <c r="C40" s="10" t="s">
        <v>310</v>
      </c>
      <c r="D40" s="10" t="s">
        <v>145</v>
      </c>
      <c r="E40" s="10" t="n">
        <v>2023</v>
      </c>
      <c r="F40" s="10" t="s">
        <v>108</v>
      </c>
      <c r="G40" s="10" t="s">
        <v>123</v>
      </c>
      <c r="H40" s="10" t="s">
        <v>124</v>
      </c>
      <c r="I40" s="10" t="s">
        <v>111</v>
      </c>
      <c r="J40" s="10" t="s">
        <v>311</v>
      </c>
      <c r="K40" s="10" t="s">
        <v>184</v>
      </c>
      <c r="L40" s="10" t="s">
        <v>114</v>
      </c>
      <c r="M40" s="10" t="s">
        <v>151</v>
      </c>
      <c r="N40" s="10" t="s">
        <v>140</v>
      </c>
      <c r="O40" s="10" t="s">
        <v>208</v>
      </c>
      <c r="P40" s="10" t="n">
        <f aca="false">Settings!$B$5-E40</f>
        <v>3</v>
      </c>
      <c r="Q40" s="10" t="str">
        <f aca="false">IF(AND(OR(D40="Colt",D40="Filly"),P40&gt;Settings!$B$11),"Sex/age mismatch",IF(AND(OR(D40="Stallion",D40="Mare"),P40&lt;=Settings!$B$11),"Sex/age mismatch",""))</f>
        <v>Sex/age mismatch</v>
      </c>
    </row>
    <row r="41" customFormat="false" ht="15" hidden="false" customHeight="false" outlineLevel="0" collapsed="false">
      <c r="A41" s="10" t="s">
        <v>312</v>
      </c>
      <c r="B41" s="10" t="s">
        <v>313</v>
      </c>
      <c r="C41" s="10" t="s">
        <v>314</v>
      </c>
      <c r="D41" s="10" t="s">
        <v>212</v>
      </c>
      <c r="E41" s="10" t="n">
        <v>2023</v>
      </c>
      <c r="F41" s="10" t="s">
        <v>108</v>
      </c>
      <c r="G41" s="10" t="s">
        <v>133</v>
      </c>
      <c r="H41" s="10" t="s">
        <v>124</v>
      </c>
      <c r="I41" s="10" t="s">
        <v>111</v>
      </c>
      <c r="J41" s="10" t="s">
        <v>315</v>
      </c>
      <c r="K41" s="10" t="s">
        <v>113</v>
      </c>
      <c r="L41" s="10" t="s">
        <v>114</v>
      </c>
      <c r="M41" s="10" t="s">
        <v>265</v>
      </c>
      <c r="N41" s="10" t="s">
        <v>160</v>
      </c>
      <c r="O41" s="10" t="s">
        <v>117</v>
      </c>
      <c r="P41" s="10" t="n">
        <f aca="false">Settings!$B$5-E41</f>
        <v>3</v>
      </c>
      <c r="Q41" s="10" t="str">
        <f aca="false">IF(AND(OR(D41="Colt",D41="Filly"),P41&gt;Settings!$B$11),"Sex/age mismatch",IF(AND(OR(D41="Stallion",D41="Mare"),P41&lt;=Settings!$B$11),"Sex/age mismatch",""))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L1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11" min="5" style="0" width="11"/>
    <col collapsed="false" customWidth="true" hidden="false" outlineLevel="0" max="12" min="12" style="0" width="52"/>
  </cols>
  <sheetData>
    <row r="1" customFormat="false" ht="23.85" hidden="false" customHeight="false" outlineLevel="0" collapsed="false">
      <c r="A1" s="9" t="s">
        <v>316</v>
      </c>
      <c r="B1" s="9" t="s">
        <v>90</v>
      </c>
      <c r="C1" s="9" t="s">
        <v>91</v>
      </c>
      <c r="D1" s="9" t="s">
        <v>317</v>
      </c>
      <c r="E1" s="9" t="s">
        <v>32</v>
      </c>
      <c r="F1" s="9" t="s">
        <v>33</v>
      </c>
      <c r="G1" s="9" t="s">
        <v>34</v>
      </c>
      <c r="H1" s="9" t="s">
        <v>35</v>
      </c>
      <c r="I1" s="9" t="s">
        <v>36</v>
      </c>
      <c r="J1" s="9" t="s">
        <v>37</v>
      </c>
      <c r="K1" s="9" t="s">
        <v>318</v>
      </c>
      <c r="L1" s="9" t="s">
        <v>319</v>
      </c>
    </row>
    <row r="2" customFormat="false" ht="15" hidden="false" customHeight="false" outlineLevel="0" collapsed="false">
      <c r="A2" s="10" t="s">
        <v>320</v>
      </c>
      <c r="B2" s="10" t="s">
        <v>105</v>
      </c>
      <c r="C2" s="10" t="s">
        <v>22</v>
      </c>
      <c r="D2" s="10" t="s">
        <v>321</v>
      </c>
      <c r="E2" s="28" t="n">
        <v>19.9</v>
      </c>
      <c r="F2" s="28" t="n">
        <v>20</v>
      </c>
      <c r="G2" s="28" t="n">
        <v>18.5</v>
      </c>
      <c r="H2" s="28" t="n">
        <v>18.1</v>
      </c>
      <c r="I2" s="28" t="n">
        <v>18.2</v>
      </c>
      <c r="J2" s="28" t="n">
        <v>19.8</v>
      </c>
      <c r="K2" s="28" t="n">
        <f aca="false">SUM(E2:J2)</f>
        <v>114.5</v>
      </c>
      <c r="L2" s="10" t="s">
        <v>322</v>
      </c>
    </row>
    <row r="3" customFormat="false" ht="15" hidden="false" customHeight="false" outlineLevel="0" collapsed="false">
      <c r="A3" s="10" t="s">
        <v>323</v>
      </c>
      <c r="B3" s="10" t="s">
        <v>105</v>
      </c>
      <c r="C3" s="10" t="s">
        <v>22</v>
      </c>
      <c r="D3" s="10" t="s">
        <v>324</v>
      </c>
      <c r="E3" s="28" t="n">
        <v>17</v>
      </c>
      <c r="F3" s="28" t="n">
        <v>19</v>
      </c>
      <c r="G3" s="28" t="n">
        <v>19.2</v>
      </c>
      <c r="H3" s="28" t="n">
        <v>17.9</v>
      </c>
      <c r="I3" s="28" t="n">
        <v>20</v>
      </c>
      <c r="J3" s="28" t="n">
        <v>19.6</v>
      </c>
      <c r="K3" s="28" t="n">
        <f aca="false">SUM(E3:J3)</f>
        <v>112.7</v>
      </c>
      <c r="L3" s="10" t="s">
        <v>325</v>
      </c>
    </row>
    <row r="4" customFormat="false" ht="15" hidden="false" customHeight="false" outlineLevel="0" collapsed="false">
      <c r="A4" s="10" t="s">
        <v>326</v>
      </c>
      <c r="B4" s="10" t="s">
        <v>105</v>
      </c>
      <c r="C4" s="10" t="s">
        <v>22</v>
      </c>
      <c r="D4" s="10" t="s">
        <v>327</v>
      </c>
      <c r="E4" s="28" t="n">
        <v>18.7</v>
      </c>
      <c r="F4" s="28" t="n">
        <v>18.1</v>
      </c>
      <c r="G4" s="28" t="n">
        <v>19.6</v>
      </c>
      <c r="H4" s="28" t="n">
        <v>18.1</v>
      </c>
      <c r="I4" s="28" t="n">
        <v>18.6</v>
      </c>
      <c r="J4" s="28" t="n">
        <v>20</v>
      </c>
      <c r="K4" s="28" t="n">
        <f aca="false">SUM(E4:J4)</f>
        <v>113.1</v>
      </c>
      <c r="L4" s="10" t="s">
        <v>328</v>
      </c>
    </row>
    <row r="5" customFormat="false" ht="15" hidden="false" customHeight="false" outlineLevel="0" collapsed="false">
      <c r="A5" s="10" t="s">
        <v>329</v>
      </c>
      <c r="B5" s="10" t="s">
        <v>118</v>
      </c>
      <c r="C5" s="10" t="s">
        <v>119</v>
      </c>
      <c r="D5" s="10" t="s">
        <v>321</v>
      </c>
      <c r="E5" s="28" t="n">
        <v>19.9</v>
      </c>
      <c r="F5" s="28" t="n">
        <v>18.5</v>
      </c>
      <c r="G5" s="28" t="n">
        <v>19.8</v>
      </c>
      <c r="H5" s="28" t="n">
        <v>19</v>
      </c>
      <c r="I5" s="28" t="n">
        <v>19.1</v>
      </c>
      <c r="J5" s="28" t="n">
        <v>17.7</v>
      </c>
      <c r="K5" s="28" t="n">
        <f aca="false">SUM(E5:J5)</f>
        <v>114</v>
      </c>
      <c r="L5" s="10" t="s">
        <v>330</v>
      </c>
    </row>
    <row r="6" customFormat="false" ht="15" hidden="false" customHeight="false" outlineLevel="0" collapsed="false">
      <c r="A6" s="10" t="s">
        <v>331</v>
      </c>
      <c r="B6" s="10" t="s">
        <v>118</v>
      </c>
      <c r="C6" s="10" t="s">
        <v>119</v>
      </c>
      <c r="D6" s="10" t="s">
        <v>324</v>
      </c>
      <c r="E6" s="28" t="n">
        <v>20</v>
      </c>
      <c r="F6" s="28" t="n">
        <v>16.9</v>
      </c>
      <c r="G6" s="28" t="n">
        <v>19</v>
      </c>
      <c r="H6" s="28" t="n">
        <v>20</v>
      </c>
      <c r="I6" s="28" t="n">
        <v>17.2</v>
      </c>
      <c r="J6" s="28" t="n">
        <v>18</v>
      </c>
      <c r="K6" s="28" t="n">
        <f aca="false">SUM(E6:J6)</f>
        <v>111.1</v>
      </c>
      <c r="L6" s="10" t="s">
        <v>332</v>
      </c>
    </row>
    <row r="7" customFormat="false" ht="15" hidden="false" customHeight="false" outlineLevel="0" collapsed="false">
      <c r="A7" s="10" t="s">
        <v>333</v>
      </c>
      <c r="B7" s="10" t="s">
        <v>118</v>
      </c>
      <c r="C7" s="10" t="s">
        <v>119</v>
      </c>
      <c r="D7" s="10" t="s">
        <v>327</v>
      </c>
      <c r="E7" s="28" t="n">
        <v>17.2</v>
      </c>
      <c r="F7" s="28" t="n">
        <v>15.3</v>
      </c>
      <c r="G7" s="28" t="n">
        <v>19.6</v>
      </c>
      <c r="H7" s="28" t="n">
        <v>17.1</v>
      </c>
      <c r="I7" s="28" t="n">
        <v>19.5</v>
      </c>
      <c r="J7" s="28" t="n">
        <v>17.3</v>
      </c>
      <c r="K7" s="28" t="n">
        <f aca="false">SUM(E7:J7)</f>
        <v>106</v>
      </c>
      <c r="L7" s="10" t="s">
        <v>332</v>
      </c>
    </row>
    <row r="8" customFormat="false" ht="15" hidden="false" customHeight="false" outlineLevel="0" collapsed="false">
      <c r="A8" s="10" t="s">
        <v>334</v>
      </c>
      <c r="B8" s="10" t="s">
        <v>129</v>
      </c>
      <c r="C8" s="10" t="s">
        <v>130</v>
      </c>
      <c r="D8" s="10" t="s">
        <v>321</v>
      </c>
      <c r="E8" s="28" t="n">
        <v>16.4</v>
      </c>
      <c r="F8" s="28" t="n">
        <v>19.2</v>
      </c>
      <c r="G8" s="28" t="n">
        <v>17.9</v>
      </c>
      <c r="H8" s="28" t="n">
        <v>16.4</v>
      </c>
      <c r="I8" s="28" t="n">
        <v>17.9</v>
      </c>
      <c r="J8" s="28" t="n">
        <v>17.1</v>
      </c>
      <c r="K8" s="28" t="n">
        <f aca="false">SUM(E8:J8)</f>
        <v>104.9</v>
      </c>
      <c r="L8" s="10" t="s">
        <v>330</v>
      </c>
    </row>
    <row r="9" customFormat="false" ht="15" hidden="false" customHeight="false" outlineLevel="0" collapsed="false">
      <c r="A9" s="10" t="s">
        <v>335</v>
      </c>
      <c r="B9" s="10" t="s">
        <v>129</v>
      </c>
      <c r="C9" s="10" t="s">
        <v>130</v>
      </c>
      <c r="D9" s="10" t="s">
        <v>324</v>
      </c>
      <c r="E9" s="28" t="n">
        <v>18.4</v>
      </c>
      <c r="F9" s="28" t="n">
        <v>18.9</v>
      </c>
      <c r="G9" s="28" t="n">
        <v>18.4</v>
      </c>
      <c r="H9" s="28" t="n">
        <v>17.9</v>
      </c>
      <c r="I9" s="28" t="n">
        <v>17.9</v>
      </c>
      <c r="J9" s="28" t="n">
        <v>18.8</v>
      </c>
      <c r="K9" s="28" t="n">
        <f aca="false">SUM(E9:J9)</f>
        <v>110.3</v>
      </c>
      <c r="L9" s="10" t="s">
        <v>325</v>
      </c>
    </row>
    <row r="10" customFormat="false" ht="15" hidden="false" customHeight="false" outlineLevel="0" collapsed="false">
      <c r="A10" s="10" t="s">
        <v>336</v>
      </c>
      <c r="B10" s="10" t="s">
        <v>129</v>
      </c>
      <c r="C10" s="10" t="s">
        <v>130</v>
      </c>
      <c r="D10" s="10" t="s">
        <v>327</v>
      </c>
      <c r="E10" s="28" t="n">
        <v>20</v>
      </c>
      <c r="F10" s="28" t="n">
        <v>18.5</v>
      </c>
      <c r="G10" s="28" t="n">
        <v>18.1</v>
      </c>
      <c r="H10" s="28" t="n">
        <v>16.8</v>
      </c>
      <c r="I10" s="28" t="n">
        <v>18.2</v>
      </c>
      <c r="J10" s="28" t="n">
        <v>16.4</v>
      </c>
      <c r="K10" s="28" t="n">
        <f aca="false">SUM(E10:J10)</f>
        <v>108</v>
      </c>
      <c r="L10" s="10" t="s">
        <v>328</v>
      </c>
    </row>
    <row r="11" customFormat="false" ht="15" hidden="false" customHeight="false" outlineLevel="0" collapsed="false">
      <c r="A11" s="10" t="s">
        <v>337</v>
      </c>
      <c r="B11" s="10" t="s">
        <v>142</v>
      </c>
      <c r="C11" s="10" t="s">
        <v>143</v>
      </c>
      <c r="D11" s="10" t="s">
        <v>321</v>
      </c>
      <c r="E11" s="28" t="n">
        <v>18.4</v>
      </c>
      <c r="F11" s="28" t="n">
        <v>19</v>
      </c>
      <c r="G11" s="28" t="n">
        <v>17.5</v>
      </c>
      <c r="H11" s="28" t="n">
        <v>18.5</v>
      </c>
      <c r="I11" s="28" t="n">
        <v>18.1</v>
      </c>
      <c r="J11" s="28" t="n">
        <v>17.5</v>
      </c>
      <c r="K11" s="28" t="n">
        <f aca="false">SUM(E11:J11)</f>
        <v>109</v>
      </c>
      <c r="L11" s="10" t="s">
        <v>325</v>
      </c>
    </row>
    <row r="12" customFormat="false" ht="15" hidden="false" customHeight="false" outlineLevel="0" collapsed="false">
      <c r="A12" s="10" t="s">
        <v>338</v>
      </c>
      <c r="B12" s="10" t="s">
        <v>142</v>
      </c>
      <c r="C12" s="10" t="s">
        <v>143</v>
      </c>
      <c r="D12" s="10" t="s">
        <v>324</v>
      </c>
      <c r="E12" s="28" t="n">
        <v>19.6</v>
      </c>
      <c r="F12" s="28" t="n">
        <v>19.7</v>
      </c>
      <c r="G12" s="28" t="n">
        <v>19.3</v>
      </c>
      <c r="H12" s="28" t="n">
        <v>19.3</v>
      </c>
      <c r="I12" s="28" t="n">
        <v>19.8</v>
      </c>
      <c r="J12" s="28" t="n">
        <v>19.1</v>
      </c>
      <c r="K12" s="28" t="n">
        <f aca="false">SUM(E12:J12)</f>
        <v>116.8</v>
      </c>
      <c r="L12" s="10" t="s">
        <v>322</v>
      </c>
    </row>
    <row r="13" customFormat="false" ht="15" hidden="false" customHeight="false" outlineLevel="0" collapsed="false">
      <c r="A13" s="10" t="s">
        <v>339</v>
      </c>
      <c r="B13" s="10" t="s">
        <v>142</v>
      </c>
      <c r="C13" s="10" t="s">
        <v>143</v>
      </c>
      <c r="D13" s="10" t="s">
        <v>327</v>
      </c>
      <c r="E13" s="28" t="n">
        <v>18.6</v>
      </c>
      <c r="F13" s="28" t="n">
        <v>18.2</v>
      </c>
      <c r="G13" s="28" t="n">
        <v>16.3</v>
      </c>
      <c r="H13" s="28" t="n">
        <v>19</v>
      </c>
      <c r="I13" s="28" t="n">
        <v>19</v>
      </c>
      <c r="J13" s="28" t="n">
        <v>19.5</v>
      </c>
      <c r="K13" s="28" t="n">
        <f aca="false">SUM(E13:J13)</f>
        <v>110.6</v>
      </c>
      <c r="L13" s="10" t="s">
        <v>340</v>
      </c>
    </row>
    <row r="14" customFormat="false" ht="15" hidden="false" customHeight="false" outlineLevel="0" collapsed="false">
      <c r="A14" s="10" t="s">
        <v>341</v>
      </c>
      <c r="B14" s="10" t="s">
        <v>153</v>
      </c>
      <c r="C14" s="10" t="s">
        <v>154</v>
      </c>
      <c r="D14" s="10" t="s">
        <v>321</v>
      </c>
      <c r="E14" s="28" t="n">
        <v>18.7</v>
      </c>
      <c r="F14" s="28" t="n">
        <v>19.8</v>
      </c>
      <c r="G14" s="28" t="n">
        <v>18.8</v>
      </c>
      <c r="H14" s="28" t="n">
        <v>17.3</v>
      </c>
      <c r="I14" s="28" t="n">
        <v>18.3</v>
      </c>
      <c r="J14" s="28" t="n">
        <v>16.7</v>
      </c>
      <c r="K14" s="28" t="n">
        <f aca="false">SUM(E14:J14)</f>
        <v>109.6</v>
      </c>
      <c r="L14" s="10" t="s">
        <v>340</v>
      </c>
    </row>
    <row r="15" customFormat="false" ht="15" hidden="false" customHeight="false" outlineLevel="0" collapsed="false">
      <c r="A15" s="10" t="s">
        <v>342</v>
      </c>
      <c r="B15" s="10" t="s">
        <v>153</v>
      </c>
      <c r="C15" s="10" t="s">
        <v>154</v>
      </c>
      <c r="D15" s="10" t="s">
        <v>324</v>
      </c>
      <c r="E15" s="28" t="n">
        <v>18.9</v>
      </c>
      <c r="F15" s="28" t="n">
        <v>17.7</v>
      </c>
      <c r="G15" s="28" t="n">
        <v>18.5</v>
      </c>
      <c r="H15" s="28" t="n">
        <v>17.8</v>
      </c>
      <c r="I15" s="28" t="n">
        <v>18.8</v>
      </c>
      <c r="J15" s="28" t="n">
        <v>18.3</v>
      </c>
      <c r="K15" s="28" t="n">
        <f aca="false">SUM(E15:J15)</f>
        <v>110</v>
      </c>
      <c r="L15" s="10" t="s">
        <v>330</v>
      </c>
    </row>
    <row r="16" customFormat="false" ht="15" hidden="false" customHeight="false" outlineLevel="0" collapsed="false">
      <c r="A16" s="10" t="s">
        <v>343</v>
      </c>
      <c r="B16" s="10" t="s">
        <v>153</v>
      </c>
      <c r="C16" s="10" t="s">
        <v>154</v>
      </c>
      <c r="D16" s="10" t="s">
        <v>327</v>
      </c>
      <c r="E16" s="28" t="n">
        <v>18.4</v>
      </c>
      <c r="F16" s="28" t="n">
        <v>17.1</v>
      </c>
      <c r="G16" s="28" t="n">
        <v>18.4</v>
      </c>
      <c r="H16" s="28" t="n">
        <v>15.4</v>
      </c>
      <c r="I16" s="28" t="n">
        <v>18</v>
      </c>
      <c r="J16" s="28" t="n">
        <v>18.6</v>
      </c>
      <c r="K16" s="28" t="n">
        <f aca="false">SUM(E16:J16)</f>
        <v>105.9</v>
      </c>
      <c r="L16" s="10" t="s">
        <v>328</v>
      </c>
    </row>
    <row r="17" customFormat="false" ht="15" hidden="false" customHeight="false" outlineLevel="0" collapsed="false">
      <c r="A17" s="10" t="s">
        <v>344</v>
      </c>
      <c r="B17" s="10" t="s">
        <v>161</v>
      </c>
      <c r="C17" s="10" t="s">
        <v>162</v>
      </c>
      <c r="D17" s="10" t="s">
        <v>321</v>
      </c>
      <c r="E17" s="28" t="n">
        <v>18.6</v>
      </c>
      <c r="F17" s="28" t="n">
        <v>20</v>
      </c>
      <c r="G17" s="28" t="n">
        <v>18</v>
      </c>
      <c r="H17" s="28" t="n">
        <v>18.7</v>
      </c>
      <c r="I17" s="28" t="n">
        <v>20</v>
      </c>
      <c r="J17" s="28" t="n">
        <v>18.4</v>
      </c>
      <c r="K17" s="28" t="n">
        <f aca="false">SUM(E17:J17)</f>
        <v>113.7</v>
      </c>
      <c r="L17" s="10" t="s">
        <v>340</v>
      </c>
    </row>
    <row r="18" customFormat="false" ht="15" hidden="false" customHeight="false" outlineLevel="0" collapsed="false">
      <c r="A18" s="10" t="s">
        <v>345</v>
      </c>
      <c r="B18" s="10" t="s">
        <v>161</v>
      </c>
      <c r="C18" s="10" t="s">
        <v>162</v>
      </c>
      <c r="D18" s="10" t="s">
        <v>324</v>
      </c>
      <c r="E18" s="28" t="n">
        <v>18.6</v>
      </c>
      <c r="F18" s="28" t="n">
        <v>19.1</v>
      </c>
      <c r="G18" s="28" t="n">
        <v>19.7</v>
      </c>
      <c r="H18" s="28" t="n">
        <v>17.8</v>
      </c>
      <c r="I18" s="28" t="n">
        <v>17.6</v>
      </c>
      <c r="J18" s="28" t="n">
        <v>17.4</v>
      </c>
      <c r="K18" s="28" t="n">
        <f aca="false">SUM(E18:J18)</f>
        <v>110.2</v>
      </c>
      <c r="L18" s="10" t="s">
        <v>325</v>
      </c>
    </row>
    <row r="19" customFormat="false" ht="15" hidden="false" customHeight="false" outlineLevel="0" collapsed="false">
      <c r="A19" s="10" t="s">
        <v>346</v>
      </c>
      <c r="B19" s="10" t="s">
        <v>161</v>
      </c>
      <c r="C19" s="10" t="s">
        <v>162</v>
      </c>
      <c r="D19" s="10" t="s">
        <v>327</v>
      </c>
      <c r="E19" s="28" t="n">
        <v>18</v>
      </c>
      <c r="F19" s="28" t="n">
        <v>18.5</v>
      </c>
      <c r="G19" s="28" t="n">
        <v>17.8</v>
      </c>
      <c r="H19" s="28" t="n">
        <v>19</v>
      </c>
      <c r="I19" s="28" t="n">
        <v>17.1</v>
      </c>
      <c r="J19" s="28" t="n">
        <v>20</v>
      </c>
      <c r="K19" s="28" t="n">
        <f aca="false">SUM(E19:J19)</f>
        <v>110.4</v>
      </c>
      <c r="L19" s="10" t="s">
        <v>340</v>
      </c>
    </row>
    <row r="20" customFormat="false" ht="15" hidden="false" customHeight="false" outlineLevel="0" collapsed="false">
      <c r="A20" s="10" t="s">
        <v>347</v>
      </c>
      <c r="B20" s="10" t="s">
        <v>168</v>
      </c>
      <c r="C20" s="10" t="s">
        <v>169</v>
      </c>
      <c r="D20" s="10" t="s">
        <v>321</v>
      </c>
      <c r="E20" s="28" t="n">
        <v>16.4</v>
      </c>
      <c r="F20" s="28" t="n">
        <v>16.3</v>
      </c>
      <c r="G20" s="28" t="n">
        <v>18</v>
      </c>
      <c r="H20" s="28" t="n">
        <v>17</v>
      </c>
      <c r="I20" s="28" t="n">
        <v>17.3</v>
      </c>
      <c r="J20" s="28" t="n">
        <v>15.2</v>
      </c>
      <c r="K20" s="28" t="n">
        <f aca="false">SUM(E20:J20)</f>
        <v>100.2</v>
      </c>
      <c r="L20" s="10" t="s">
        <v>340</v>
      </c>
    </row>
    <row r="21" customFormat="false" ht="15" hidden="false" customHeight="false" outlineLevel="0" collapsed="false">
      <c r="A21" s="10" t="s">
        <v>348</v>
      </c>
      <c r="B21" s="10" t="s">
        <v>168</v>
      </c>
      <c r="C21" s="10" t="s">
        <v>169</v>
      </c>
      <c r="D21" s="10" t="s">
        <v>324</v>
      </c>
      <c r="E21" s="28" t="n">
        <v>15.7</v>
      </c>
      <c r="F21" s="28" t="n">
        <v>16</v>
      </c>
      <c r="G21" s="28" t="n">
        <v>18.3</v>
      </c>
      <c r="H21" s="28" t="n">
        <v>16.7</v>
      </c>
      <c r="I21" s="28" t="n">
        <v>18</v>
      </c>
      <c r="J21" s="28" t="n">
        <v>16.4</v>
      </c>
      <c r="K21" s="28" t="n">
        <f aca="false">SUM(E21:J21)</f>
        <v>101.1</v>
      </c>
      <c r="L21" s="10" t="s">
        <v>340</v>
      </c>
    </row>
    <row r="22" customFormat="false" ht="15" hidden="false" customHeight="false" outlineLevel="0" collapsed="false">
      <c r="A22" s="10" t="s">
        <v>349</v>
      </c>
      <c r="B22" s="10" t="s">
        <v>168</v>
      </c>
      <c r="C22" s="10" t="s">
        <v>169</v>
      </c>
      <c r="D22" s="10" t="s">
        <v>327</v>
      </c>
      <c r="E22" s="28" t="n">
        <v>18.5</v>
      </c>
      <c r="F22" s="28" t="n">
        <v>15.9</v>
      </c>
      <c r="G22" s="28" t="n">
        <v>19.8</v>
      </c>
      <c r="H22" s="28" t="n">
        <v>18.9</v>
      </c>
      <c r="I22" s="28" t="n">
        <v>17.3</v>
      </c>
      <c r="J22" s="28" t="n">
        <v>18.7</v>
      </c>
      <c r="K22" s="28" t="n">
        <f aca="false">SUM(E22:J22)</f>
        <v>109.1</v>
      </c>
      <c r="L22" s="10" t="s">
        <v>322</v>
      </c>
    </row>
    <row r="23" customFormat="false" ht="15" hidden="false" customHeight="false" outlineLevel="0" collapsed="false">
      <c r="A23" s="10" t="s">
        <v>350</v>
      </c>
      <c r="B23" s="10" t="s">
        <v>176</v>
      </c>
      <c r="C23" s="10" t="s">
        <v>177</v>
      </c>
      <c r="D23" s="10" t="s">
        <v>321</v>
      </c>
      <c r="E23" s="28" t="n">
        <v>17.7</v>
      </c>
      <c r="F23" s="28" t="n">
        <v>17.8</v>
      </c>
      <c r="G23" s="28" t="n">
        <v>16.7</v>
      </c>
      <c r="H23" s="28" t="n">
        <v>17.8</v>
      </c>
      <c r="I23" s="28" t="n">
        <v>16.2</v>
      </c>
      <c r="J23" s="28" t="n">
        <v>16.8</v>
      </c>
      <c r="K23" s="28" t="n">
        <f aca="false">SUM(E23:J23)</f>
        <v>103</v>
      </c>
      <c r="L23" s="10" t="s">
        <v>328</v>
      </c>
    </row>
    <row r="24" customFormat="false" ht="15" hidden="false" customHeight="false" outlineLevel="0" collapsed="false">
      <c r="A24" s="10" t="s">
        <v>351</v>
      </c>
      <c r="B24" s="10" t="s">
        <v>176</v>
      </c>
      <c r="C24" s="10" t="s">
        <v>177</v>
      </c>
      <c r="D24" s="10" t="s">
        <v>324</v>
      </c>
      <c r="E24" s="28" t="n">
        <v>19.4</v>
      </c>
      <c r="F24" s="28" t="n">
        <v>19.2</v>
      </c>
      <c r="G24" s="28" t="n">
        <v>16.9</v>
      </c>
      <c r="H24" s="28" t="n">
        <v>15.9</v>
      </c>
      <c r="I24" s="28" t="n">
        <v>18.3</v>
      </c>
      <c r="J24" s="28" t="n">
        <v>18.3</v>
      </c>
      <c r="K24" s="28" t="n">
        <f aca="false">SUM(E24:J24)</f>
        <v>108</v>
      </c>
      <c r="L24" s="10" t="s">
        <v>322</v>
      </c>
    </row>
    <row r="25" customFormat="false" ht="15" hidden="false" customHeight="false" outlineLevel="0" collapsed="false">
      <c r="A25" s="10" t="s">
        <v>352</v>
      </c>
      <c r="B25" s="10" t="s">
        <v>176</v>
      </c>
      <c r="C25" s="10" t="s">
        <v>177</v>
      </c>
      <c r="D25" s="10" t="s">
        <v>327</v>
      </c>
      <c r="E25" s="28" t="n">
        <v>17</v>
      </c>
      <c r="F25" s="28" t="n">
        <v>19</v>
      </c>
      <c r="G25" s="28" t="n">
        <v>16.3</v>
      </c>
      <c r="H25" s="28" t="n">
        <v>17</v>
      </c>
      <c r="I25" s="28" t="n">
        <v>17.9</v>
      </c>
      <c r="J25" s="28" t="n">
        <v>19.2</v>
      </c>
      <c r="K25" s="28" t="n">
        <f aca="false">SUM(E25:J25)</f>
        <v>106.4</v>
      </c>
      <c r="L25" s="10" t="s">
        <v>325</v>
      </c>
    </row>
    <row r="26" customFormat="false" ht="15" hidden="false" customHeight="false" outlineLevel="0" collapsed="false">
      <c r="A26" s="10" t="s">
        <v>353</v>
      </c>
      <c r="B26" s="10" t="s">
        <v>180</v>
      </c>
      <c r="C26" s="10" t="s">
        <v>181</v>
      </c>
      <c r="D26" s="10" t="s">
        <v>321</v>
      </c>
      <c r="E26" s="28" t="n">
        <v>19.4</v>
      </c>
      <c r="F26" s="28" t="n">
        <v>19.1</v>
      </c>
      <c r="G26" s="28" t="n">
        <v>20</v>
      </c>
      <c r="H26" s="28" t="n">
        <v>18.4</v>
      </c>
      <c r="I26" s="28" t="n">
        <v>19.8</v>
      </c>
      <c r="J26" s="28" t="n">
        <v>19.8</v>
      </c>
      <c r="K26" s="28" t="n">
        <f aca="false">SUM(E26:J26)</f>
        <v>116.5</v>
      </c>
      <c r="L26" s="10" t="s">
        <v>322</v>
      </c>
    </row>
    <row r="27" customFormat="false" ht="15" hidden="false" customHeight="false" outlineLevel="0" collapsed="false">
      <c r="A27" s="10" t="s">
        <v>354</v>
      </c>
      <c r="B27" s="10" t="s">
        <v>180</v>
      </c>
      <c r="C27" s="10" t="s">
        <v>181</v>
      </c>
      <c r="D27" s="10" t="s">
        <v>324</v>
      </c>
      <c r="E27" s="28" t="n">
        <v>19.3</v>
      </c>
      <c r="F27" s="28" t="n">
        <v>18.6</v>
      </c>
      <c r="G27" s="28" t="n">
        <v>20</v>
      </c>
      <c r="H27" s="28" t="n">
        <v>17.8</v>
      </c>
      <c r="I27" s="28" t="n">
        <v>20</v>
      </c>
      <c r="J27" s="28" t="n">
        <v>18.8</v>
      </c>
      <c r="K27" s="28" t="n">
        <f aca="false">SUM(E27:J27)</f>
        <v>114.5</v>
      </c>
      <c r="L27" s="10" t="s">
        <v>330</v>
      </c>
    </row>
    <row r="28" customFormat="false" ht="15" hidden="false" customHeight="false" outlineLevel="0" collapsed="false">
      <c r="A28" s="10" t="s">
        <v>355</v>
      </c>
      <c r="B28" s="10" t="s">
        <v>180</v>
      </c>
      <c r="C28" s="10" t="s">
        <v>181</v>
      </c>
      <c r="D28" s="10" t="s">
        <v>327</v>
      </c>
      <c r="E28" s="28" t="n">
        <v>18.9</v>
      </c>
      <c r="F28" s="28" t="n">
        <v>20</v>
      </c>
      <c r="G28" s="28" t="n">
        <v>17.1</v>
      </c>
      <c r="H28" s="28" t="n">
        <v>18.3</v>
      </c>
      <c r="I28" s="28" t="n">
        <v>20</v>
      </c>
      <c r="J28" s="28" t="n">
        <v>16.3</v>
      </c>
      <c r="K28" s="28" t="n">
        <f aca="false">SUM(E28:J28)</f>
        <v>110.6</v>
      </c>
      <c r="L28" s="10" t="s">
        <v>322</v>
      </c>
    </row>
    <row r="29" customFormat="false" ht="15" hidden="false" customHeight="false" outlineLevel="0" collapsed="false">
      <c r="A29" s="10" t="s">
        <v>356</v>
      </c>
      <c r="B29" s="10" t="s">
        <v>185</v>
      </c>
      <c r="C29" s="10" t="s">
        <v>186</v>
      </c>
      <c r="D29" s="10" t="s">
        <v>321</v>
      </c>
      <c r="E29" s="28" t="n">
        <v>17.4</v>
      </c>
      <c r="F29" s="28" t="n">
        <v>16.2</v>
      </c>
      <c r="G29" s="28" t="n">
        <v>16.9</v>
      </c>
      <c r="H29" s="28" t="n">
        <v>17.5</v>
      </c>
      <c r="I29" s="28" t="n">
        <v>18.1</v>
      </c>
      <c r="J29" s="28" t="n">
        <v>17.5</v>
      </c>
      <c r="K29" s="28" t="n">
        <f aca="false">SUM(E29:J29)</f>
        <v>103.6</v>
      </c>
      <c r="L29" s="10" t="s">
        <v>325</v>
      </c>
    </row>
    <row r="30" customFormat="false" ht="15" hidden="false" customHeight="false" outlineLevel="0" collapsed="false">
      <c r="A30" s="10" t="s">
        <v>357</v>
      </c>
      <c r="B30" s="10" t="s">
        <v>185</v>
      </c>
      <c r="C30" s="10" t="s">
        <v>186</v>
      </c>
      <c r="D30" s="10" t="s">
        <v>324</v>
      </c>
      <c r="E30" s="28" t="n">
        <v>18.6</v>
      </c>
      <c r="F30" s="28" t="n">
        <v>18.4</v>
      </c>
      <c r="G30" s="28" t="n">
        <v>18.5</v>
      </c>
      <c r="H30" s="28" t="n">
        <v>18.1</v>
      </c>
      <c r="I30" s="28" t="n">
        <v>15.8</v>
      </c>
      <c r="J30" s="28" t="n">
        <v>18.5</v>
      </c>
      <c r="K30" s="28" t="n">
        <f aca="false">SUM(E30:J30)</f>
        <v>107.9</v>
      </c>
      <c r="L30" s="10" t="s">
        <v>340</v>
      </c>
    </row>
    <row r="31" customFormat="false" ht="15" hidden="false" customHeight="false" outlineLevel="0" collapsed="false">
      <c r="A31" s="10" t="s">
        <v>358</v>
      </c>
      <c r="B31" s="10" t="s">
        <v>185</v>
      </c>
      <c r="C31" s="10" t="s">
        <v>186</v>
      </c>
      <c r="D31" s="10" t="s">
        <v>327</v>
      </c>
      <c r="E31" s="28" t="n">
        <v>16.6</v>
      </c>
      <c r="F31" s="28" t="n">
        <v>15.5</v>
      </c>
      <c r="G31" s="28" t="n">
        <v>19.2</v>
      </c>
      <c r="H31" s="28" t="n">
        <v>16.5</v>
      </c>
      <c r="I31" s="28" t="n">
        <v>17.9</v>
      </c>
      <c r="J31" s="28" t="n">
        <v>16.7</v>
      </c>
      <c r="K31" s="28" t="n">
        <f aca="false">SUM(E31:J31)</f>
        <v>102.4</v>
      </c>
      <c r="L31" s="10" t="s">
        <v>340</v>
      </c>
    </row>
    <row r="32" customFormat="false" ht="15" hidden="false" customHeight="false" outlineLevel="0" collapsed="false">
      <c r="A32" s="10" t="s">
        <v>359</v>
      </c>
      <c r="B32" s="10" t="s">
        <v>191</v>
      </c>
      <c r="C32" s="10" t="s">
        <v>192</v>
      </c>
      <c r="D32" s="10" t="s">
        <v>321</v>
      </c>
      <c r="E32" s="28" t="n">
        <v>18.7</v>
      </c>
      <c r="F32" s="28" t="n">
        <v>18.6</v>
      </c>
      <c r="G32" s="28" t="n">
        <v>18.8</v>
      </c>
      <c r="H32" s="28" t="n">
        <v>17</v>
      </c>
      <c r="I32" s="28" t="n">
        <v>18</v>
      </c>
      <c r="J32" s="28" t="n">
        <v>17.3</v>
      </c>
      <c r="K32" s="28" t="n">
        <f aca="false">SUM(E32:J32)</f>
        <v>108.4</v>
      </c>
      <c r="L32" s="10" t="s">
        <v>332</v>
      </c>
    </row>
    <row r="33" customFormat="false" ht="15" hidden="false" customHeight="false" outlineLevel="0" collapsed="false">
      <c r="A33" s="10" t="s">
        <v>360</v>
      </c>
      <c r="B33" s="10" t="s">
        <v>191</v>
      </c>
      <c r="C33" s="10" t="s">
        <v>192</v>
      </c>
      <c r="D33" s="10" t="s">
        <v>324</v>
      </c>
      <c r="E33" s="28" t="n">
        <v>17.3</v>
      </c>
      <c r="F33" s="28" t="n">
        <v>19.5</v>
      </c>
      <c r="G33" s="28" t="n">
        <v>18.4</v>
      </c>
      <c r="H33" s="28" t="n">
        <v>18.2</v>
      </c>
      <c r="I33" s="28" t="n">
        <v>19</v>
      </c>
      <c r="J33" s="28" t="n">
        <v>17.7</v>
      </c>
      <c r="K33" s="28" t="n">
        <f aca="false">SUM(E33:J33)</f>
        <v>110.1</v>
      </c>
      <c r="L33" s="10" t="s">
        <v>340</v>
      </c>
    </row>
    <row r="34" customFormat="false" ht="15" hidden="false" customHeight="false" outlineLevel="0" collapsed="false">
      <c r="A34" s="10" t="s">
        <v>361</v>
      </c>
      <c r="B34" s="10" t="s">
        <v>191</v>
      </c>
      <c r="C34" s="10" t="s">
        <v>192</v>
      </c>
      <c r="D34" s="10" t="s">
        <v>327</v>
      </c>
      <c r="E34" s="28" t="n">
        <v>16.6</v>
      </c>
      <c r="F34" s="28" t="n">
        <v>17.9</v>
      </c>
      <c r="G34" s="28" t="n">
        <v>17.9</v>
      </c>
      <c r="H34" s="28" t="n">
        <v>18.4</v>
      </c>
      <c r="I34" s="28" t="n">
        <v>19.2</v>
      </c>
      <c r="J34" s="28" t="n">
        <v>15.9</v>
      </c>
      <c r="K34" s="28" t="n">
        <f aca="false">SUM(E34:J34)</f>
        <v>105.9</v>
      </c>
      <c r="L34" s="10" t="s">
        <v>340</v>
      </c>
    </row>
    <row r="35" customFormat="false" ht="15" hidden="false" customHeight="false" outlineLevel="0" collapsed="false">
      <c r="A35" s="10" t="s">
        <v>362</v>
      </c>
      <c r="B35" s="10" t="s">
        <v>198</v>
      </c>
      <c r="C35" s="10" t="s">
        <v>199</v>
      </c>
      <c r="D35" s="10" t="s">
        <v>321</v>
      </c>
      <c r="E35" s="28" t="n">
        <v>16.5</v>
      </c>
      <c r="F35" s="28" t="n">
        <v>15.6</v>
      </c>
      <c r="G35" s="28" t="n">
        <v>17.3</v>
      </c>
      <c r="H35" s="28" t="n">
        <v>20</v>
      </c>
      <c r="I35" s="28" t="n">
        <v>16.5</v>
      </c>
      <c r="J35" s="28" t="n">
        <v>17.7</v>
      </c>
      <c r="K35" s="28" t="n">
        <f aca="false">SUM(E35:J35)</f>
        <v>103.6</v>
      </c>
      <c r="L35" s="10" t="s">
        <v>332</v>
      </c>
    </row>
    <row r="36" customFormat="false" ht="15" hidden="false" customHeight="false" outlineLevel="0" collapsed="false">
      <c r="A36" s="10" t="s">
        <v>363</v>
      </c>
      <c r="B36" s="10" t="s">
        <v>198</v>
      </c>
      <c r="C36" s="10" t="s">
        <v>199</v>
      </c>
      <c r="D36" s="10" t="s">
        <v>324</v>
      </c>
      <c r="E36" s="28" t="n">
        <v>18.7</v>
      </c>
      <c r="F36" s="28" t="n">
        <v>15.7</v>
      </c>
      <c r="G36" s="28" t="n">
        <v>17.5</v>
      </c>
      <c r="H36" s="28" t="n">
        <v>17.6</v>
      </c>
      <c r="I36" s="28" t="n">
        <v>16.1</v>
      </c>
      <c r="J36" s="28" t="n">
        <v>17.5</v>
      </c>
      <c r="K36" s="28" t="n">
        <f aca="false">SUM(E36:J36)</f>
        <v>103.1</v>
      </c>
      <c r="L36" s="10" t="s">
        <v>328</v>
      </c>
    </row>
    <row r="37" customFormat="false" ht="15" hidden="false" customHeight="false" outlineLevel="0" collapsed="false">
      <c r="A37" s="10" t="s">
        <v>364</v>
      </c>
      <c r="B37" s="10" t="s">
        <v>198</v>
      </c>
      <c r="C37" s="10" t="s">
        <v>199</v>
      </c>
      <c r="D37" s="10" t="s">
        <v>327</v>
      </c>
      <c r="E37" s="28" t="n">
        <v>18</v>
      </c>
      <c r="F37" s="28" t="n">
        <v>16.8</v>
      </c>
      <c r="G37" s="28" t="n">
        <v>19.2</v>
      </c>
      <c r="H37" s="28" t="n">
        <v>17.3</v>
      </c>
      <c r="I37" s="28" t="n">
        <v>15.8</v>
      </c>
      <c r="J37" s="28" t="n">
        <v>16.6</v>
      </c>
      <c r="K37" s="28" t="n">
        <f aca="false">SUM(E37:J37)</f>
        <v>103.7</v>
      </c>
      <c r="L37" s="10" t="s">
        <v>330</v>
      </c>
    </row>
    <row r="38" customFormat="false" ht="15" hidden="false" customHeight="false" outlineLevel="0" collapsed="false">
      <c r="A38" s="10" t="s">
        <v>365</v>
      </c>
      <c r="B38" s="10" t="s">
        <v>203</v>
      </c>
      <c r="C38" s="10" t="s">
        <v>204</v>
      </c>
      <c r="D38" s="10" t="s">
        <v>321</v>
      </c>
      <c r="E38" s="28" t="n">
        <v>17.6</v>
      </c>
      <c r="F38" s="28" t="n">
        <v>18.7</v>
      </c>
      <c r="G38" s="28" t="n">
        <v>18.2</v>
      </c>
      <c r="H38" s="28" t="n">
        <v>16.6</v>
      </c>
      <c r="I38" s="28" t="n">
        <v>18.8</v>
      </c>
      <c r="J38" s="28" t="n">
        <v>18.3</v>
      </c>
      <c r="K38" s="28" t="n">
        <f aca="false">SUM(E38:J38)</f>
        <v>108.2</v>
      </c>
      <c r="L38" s="10" t="s">
        <v>322</v>
      </c>
    </row>
    <row r="39" customFormat="false" ht="15" hidden="false" customHeight="false" outlineLevel="0" collapsed="false">
      <c r="A39" s="10" t="s">
        <v>366</v>
      </c>
      <c r="B39" s="10" t="s">
        <v>203</v>
      </c>
      <c r="C39" s="10" t="s">
        <v>204</v>
      </c>
      <c r="D39" s="10" t="s">
        <v>324</v>
      </c>
      <c r="E39" s="28" t="n">
        <v>15.7</v>
      </c>
      <c r="F39" s="28" t="n">
        <v>18.4</v>
      </c>
      <c r="G39" s="28" t="n">
        <v>18.3</v>
      </c>
      <c r="H39" s="28" t="n">
        <v>16.7</v>
      </c>
      <c r="I39" s="28" t="n">
        <v>18.2</v>
      </c>
      <c r="J39" s="28" t="n">
        <v>17.4</v>
      </c>
      <c r="K39" s="28" t="n">
        <f aca="false">SUM(E39:J39)</f>
        <v>104.7</v>
      </c>
      <c r="L39" s="10" t="s">
        <v>325</v>
      </c>
    </row>
    <row r="40" customFormat="false" ht="15" hidden="false" customHeight="false" outlineLevel="0" collapsed="false">
      <c r="A40" s="10" t="s">
        <v>367</v>
      </c>
      <c r="B40" s="10" t="s">
        <v>203</v>
      </c>
      <c r="C40" s="10" t="s">
        <v>204</v>
      </c>
      <c r="D40" s="10" t="s">
        <v>327</v>
      </c>
      <c r="E40" s="28" t="n">
        <v>17.2</v>
      </c>
      <c r="F40" s="28" t="n">
        <v>18.4</v>
      </c>
      <c r="G40" s="28" t="n">
        <v>16.8</v>
      </c>
      <c r="H40" s="28" t="n">
        <v>17.3</v>
      </c>
      <c r="I40" s="28" t="n">
        <v>18.2</v>
      </c>
      <c r="J40" s="28" t="n">
        <v>19.7</v>
      </c>
      <c r="K40" s="28" t="n">
        <f aca="false">SUM(E40:J40)</f>
        <v>107.6</v>
      </c>
      <c r="L40" s="10" t="s">
        <v>332</v>
      </c>
    </row>
    <row r="41" customFormat="false" ht="15" hidden="false" customHeight="false" outlineLevel="0" collapsed="false">
      <c r="A41" s="10" t="s">
        <v>368</v>
      </c>
      <c r="B41" s="10" t="s">
        <v>209</v>
      </c>
      <c r="C41" s="10" t="s">
        <v>210</v>
      </c>
      <c r="D41" s="10" t="s">
        <v>321</v>
      </c>
      <c r="E41" s="28" t="n">
        <v>19.8</v>
      </c>
      <c r="F41" s="28" t="n">
        <v>18.9</v>
      </c>
      <c r="G41" s="28" t="n">
        <v>17.1</v>
      </c>
      <c r="H41" s="28" t="n">
        <v>18.8</v>
      </c>
      <c r="I41" s="28" t="n">
        <v>17.7</v>
      </c>
      <c r="J41" s="28" t="n">
        <v>18.4</v>
      </c>
      <c r="K41" s="28" t="n">
        <f aca="false">SUM(E41:J41)</f>
        <v>110.7</v>
      </c>
      <c r="L41" s="10" t="s">
        <v>330</v>
      </c>
    </row>
    <row r="42" customFormat="false" ht="15" hidden="false" customHeight="false" outlineLevel="0" collapsed="false">
      <c r="A42" s="10" t="s">
        <v>369</v>
      </c>
      <c r="B42" s="10" t="s">
        <v>209</v>
      </c>
      <c r="C42" s="10" t="s">
        <v>210</v>
      </c>
      <c r="D42" s="10" t="s">
        <v>324</v>
      </c>
      <c r="E42" s="28" t="n">
        <v>18.8</v>
      </c>
      <c r="F42" s="28" t="n">
        <v>17.6</v>
      </c>
      <c r="G42" s="28" t="n">
        <v>18</v>
      </c>
      <c r="H42" s="28" t="n">
        <v>16.9</v>
      </c>
      <c r="I42" s="28" t="n">
        <v>15.1</v>
      </c>
      <c r="J42" s="28" t="n">
        <v>18.7</v>
      </c>
      <c r="K42" s="28" t="n">
        <f aca="false">SUM(E42:J42)</f>
        <v>105.1</v>
      </c>
      <c r="L42" s="10" t="s">
        <v>325</v>
      </c>
    </row>
    <row r="43" customFormat="false" ht="15" hidden="false" customHeight="false" outlineLevel="0" collapsed="false">
      <c r="A43" s="10" t="s">
        <v>370</v>
      </c>
      <c r="B43" s="10" t="s">
        <v>209</v>
      </c>
      <c r="C43" s="10" t="s">
        <v>210</v>
      </c>
      <c r="D43" s="10" t="s">
        <v>327</v>
      </c>
      <c r="E43" s="28" t="n">
        <v>18.6</v>
      </c>
      <c r="F43" s="28" t="n">
        <v>18.7</v>
      </c>
      <c r="G43" s="28" t="n">
        <v>19.3</v>
      </c>
      <c r="H43" s="28" t="n">
        <v>17.2</v>
      </c>
      <c r="I43" s="28" t="n">
        <v>16.3</v>
      </c>
      <c r="J43" s="28" t="n">
        <v>17.6</v>
      </c>
      <c r="K43" s="28" t="n">
        <f aca="false">SUM(E43:J43)</f>
        <v>107.7</v>
      </c>
      <c r="L43" s="10" t="s">
        <v>340</v>
      </c>
    </row>
    <row r="44" customFormat="false" ht="15" hidden="false" customHeight="false" outlineLevel="0" collapsed="false">
      <c r="A44" s="10" t="s">
        <v>371</v>
      </c>
      <c r="B44" s="10" t="s">
        <v>214</v>
      </c>
      <c r="C44" s="10" t="s">
        <v>215</v>
      </c>
      <c r="D44" s="10" t="s">
        <v>321</v>
      </c>
      <c r="E44" s="28" t="n">
        <v>20</v>
      </c>
      <c r="F44" s="28" t="n">
        <v>18.9</v>
      </c>
      <c r="G44" s="28" t="n">
        <v>16.6</v>
      </c>
      <c r="H44" s="28" t="n">
        <v>16.5</v>
      </c>
      <c r="I44" s="28" t="n">
        <v>18.8</v>
      </c>
      <c r="J44" s="28" t="n">
        <v>18.2</v>
      </c>
      <c r="K44" s="28" t="n">
        <f aca="false">SUM(E44:J44)</f>
        <v>109</v>
      </c>
      <c r="L44" s="10" t="s">
        <v>340</v>
      </c>
    </row>
    <row r="45" customFormat="false" ht="15" hidden="false" customHeight="false" outlineLevel="0" collapsed="false">
      <c r="A45" s="10" t="s">
        <v>372</v>
      </c>
      <c r="B45" s="10" t="s">
        <v>214</v>
      </c>
      <c r="C45" s="10" t="s">
        <v>215</v>
      </c>
      <c r="D45" s="10" t="s">
        <v>324</v>
      </c>
      <c r="E45" s="28" t="n">
        <v>17.7</v>
      </c>
      <c r="F45" s="28" t="n">
        <v>19.2</v>
      </c>
      <c r="G45" s="28" t="n">
        <v>18.2</v>
      </c>
      <c r="H45" s="28" t="n">
        <v>18.4</v>
      </c>
      <c r="I45" s="28" t="n">
        <v>17.8</v>
      </c>
      <c r="J45" s="28" t="n">
        <v>17</v>
      </c>
      <c r="K45" s="28" t="n">
        <f aca="false">SUM(E45:J45)</f>
        <v>108.3</v>
      </c>
      <c r="L45" s="10" t="s">
        <v>325</v>
      </c>
    </row>
    <row r="46" customFormat="false" ht="15" hidden="false" customHeight="false" outlineLevel="0" collapsed="false">
      <c r="A46" s="10" t="s">
        <v>373</v>
      </c>
      <c r="B46" s="10" t="s">
        <v>214</v>
      </c>
      <c r="C46" s="10" t="s">
        <v>215</v>
      </c>
      <c r="D46" s="10" t="s">
        <v>327</v>
      </c>
      <c r="E46" s="28" t="n">
        <v>18.1</v>
      </c>
      <c r="F46" s="28" t="n">
        <v>19.6</v>
      </c>
      <c r="G46" s="28" t="n">
        <v>18.9</v>
      </c>
      <c r="H46" s="28" t="n">
        <v>16.8</v>
      </c>
      <c r="I46" s="28" t="n">
        <v>17.4</v>
      </c>
      <c r="J46" s="28" t="n">
        <v>19.2</v>
      </c>
      <c r="K46" s="28" t="n">
        <f aca="false">SUM(E46:J46)</f>
        <v>110</v>
      </c>
      <c r="L46" s="10" t="s">
        <v>340</v>
      </c>
    </row>
    <row r="47" customFormat="false" ht="15" hidden="false" customHeight="false" outlineLevel="0" collapsed="false">
      <c r="A47" s="10" t="s">
        <v>374</v>
      </c>
      <c r="B47" s="10" t="s">
        <v>218</v>
      </c>
      <c r="C47" s="10" t="s">
        <v>219</v>
      </c>
      <c r="D47" s="10" t="s">
        <v>321</v>
      </c>
      <c r="E47" s="28" t="n">
        <v>18.6</v>
      </c>
      <c r="F47" s="28" t="n">
        <v>19.4</v>
      </c>
      <c r="G47" s="28" t="n">
        <v>19.4</v>
      </c>
      <c r="H47" s="28" t="n">
        <v>19.1</v>
      </c>
      <c r="I47" s="28" t="n">
        <v>19.2</v>
      </c>
      <c r="J47" s="28" t="n">
        <v>19</v>
      </c>
      <c r="K47" s="28" t="n">
        <f aca="false">SUM(E47:J47)</f>
        <v>114.7</v>
      </c>
      <c r="L47" s="10" t="s">
        <v>330</v>
      </c>
    </row>
    <row r="48" customFormat="false" ht="15" hidden="false" customHeight="false" outlineLevel="0" collapsed="false">
      <c r="A48" s="10" t="s">
        <v>375</v>
      </c>
      <c r="B48" s="10" t="s">
        <v>218</v>
      </c>
      <c r="C48" s="10" t="s">
        <v>219</v>
      </c>
      <c r="D48" s="10" t="s">
        <v>324</v>
      </c>
      <c r="E48" s="28" t="n">
        <v>17.8</v>
      </c>
      <c r="F48" s="28" t="n">
        <v>18.1</v>
      </c>
      <c r="G48" s="28" t="n">
        <v>17.6</v>
      </c>
      <c r="H48" s="28" t="n">
        <v>17.5</v>
      </c>
      <c r="I48" s="28" t="n">
        <v>19.3</v>
      </c>
      <c r="J48" s="28" t="n">
        <v>17.7</v>
      </c>
      <c r="K48" s="28" t="n">
        <f aca="false">SUM(E48:J48)</f>
        <v>108</v>
      </c>
      <c r="L48" s="10" t="s">
        <v>322</v>
      </c>
    </row>
    <row r="49" customFormat="false" ht="15" hidden="false" customHeight="false" outlineLevel="0" collapsed="false">
      <c r="A49" s="10" t="s">
        <v>376</v>
      </c>
      <c r="B49" s="10" t="s">
        <v>218</v>
      </c>
      <c r="C49" s="10" t="s">
        <v>219</v>
      </c>
      <c r="D49" s="10" t="s">
        <v>327</v>
      </c>
      <c r="E49" s="28" t="n">
        <v>19.1</v>
      </c>
      <c r="F49" s="28" t="n">
        <v>20</v>
      </c>
      <c r="G49" s="28" t="n">
        <v>18.6</v>
      </c>
      <c r="H49" s="28" t="n">
        <v>18.4</v>
      </c>
      <c r="I49" s="28" t="n">
        <v>18.8</v>
      </c>
      <c r="J49" s="28" t="n">
        <v>18.5</v>
      </c>
      <c r="K49" s="28" t="n">
        <f aca="false">SUM(E49:J49)</f>
        <v>113.4</v>
      </c>
      <c r="L49" s="10" t="s">
        <v>340</v>
      </c>
    </row>
    <row r="50" customFormat="false" ht="15" hidden="false" customHeight="false" outlineLevel="0" collapsed="false">
      <c r="A50" s="10" t="s">
        <v>377</v>
      </c>
      <c r="B50" s="10" t="s">
        <v>222</v>
      </c>
      <c r="C50" s="10" t="s">
        <v>223</v>
      </c>
      <c r="D50" s="10" t="s">
        <v>321</v>
      </c>
      <c r="E50" s="28" t="n">
        <v>18.7</v>
      </c>
      <c r="F50" s="28" t="n">
        <v>19.9</v>
      </c>
      <c r="G50" s="28" t="n">
        <v>19.1</v>
      </c>
      <c r="H50" s="28" t="n">
        <v>20</v>
      </c>
      <c r="I50" s="28" t="n">
        <v>19.7</v>
      </c>
      <c r="J50" s="28" t="n">
        <v>18.4</v>
      </c>
      <c r="K50" s="28" t="n">
        <f aca="false">SUM(E50:J50)</f>
        <v>115.8</v>
      </c>
      <c r="L50" s="10" t="s">
        <v>322</v>
      </c>
    </row>
    <row r="51" customFormat="false" ht="15" hidden="false" customHeight="false" outlineLevel="0" collapsed="false">
      <c r="A51" s="10" t="s">
        <v>378</v>
      </c>
      <c r="B51" s="10" t="s">
        <v>222</v>
      </c>
      <c r="C51" s="10" t="s">
        <v>223</v>
      </c>
      <c r="D51" s="10" t="s">
        <v>324</v>
      </c>
      <c r="E51" s="28" t="n">
        <v>20</v>
      </c>
      <c r="F51" s="28" t="n">
        <v>17.7</v>
      </c>
      <c r="G51" s="28" t="n">
        <v>18.2</v>
      </c>
      <c r="H51" s="28" t="n">
        <v>20</v>
      </c>
      <c r="I51" s="28" t="n">
        <v>16.9</v>
      </c>
      <c r="J51" s="28" t="n">
        <v>19.1</v>
      </c>
      <c r="K51" s="28" t="n">
        <f aca="false">SUM(E51:J51)</f>
        <v>111.9</v>
      </c>
      <c r="L51" s="10" t="s">
        <v>325</v>
      </c>
    </row>
    <row r="52" customFormat="false" ht="15" hidden="false" customHeight="false" outlineLevel="0" collapsed="false">
      <c r="A52" s="10" t="s">
        <v>379</v>
      </c>
      <c r="B52" s="10" t="s">
        <v>222</v>
      </c>
      <c r="C52" s="10" t="s">
        <v>223</v>
      </c>
      <c r="D52" s="10" t="s">
        <v>327</v>
      </c>
      <c r="E52" s="28" t="n">
        <v>20</v>
      </c>
      <c r="F52" s="28" t="n">
        <v>17.2</v>
      </c>
      <c r="G52" s="28" t="n">
        <v>17.7</v>
      </c>
      <c r="H52" s="28" t="n">
        <v>18.1</v>
      </c>
      <c r="I52" s="28" t="n">
        <v>18.7</v>
      </c>
      <c r="J52" s="28" t="n">
        <v>18</v>
      </c>
      <c r="K52" s="28" t="n">
        <f aca="false">SUM(E52:J52)</f>
        <v>109.7</v>
      </c>
      <c r="L52" s="10" t="s">
        <v>325</v>
      </c>
    </row>
    <row r="53" customFormat="false" ht="15" hidden="false" customHeight="false" outlineLevel="0" collapsed="false">
      <c r="A53" s="10" t="s">
        <v>380</v>
      </c>
      <c r="B53" s="10" t="s">
        <v>227</v>
      </c>
      <c r="C53" s="10" t="s">
        <v>228</v>
      </c>
      <c r="D53" s="10" t="s">
        <v>321</v>
      </c>
      <c r="E53" s="28" t="n">
        <v>16.7</v>
      </c>
      <c r="F53" s="28" t="n">
        <v>14.5</v>
      </c>
      <c r="G53" s="28" t="n">
        <v>17</v>
      </c>
      <c r="H53" s="28" t="n">
        <v>19.2</v>
      </c>
      <c r="I53" s="28" t="n">
        <v>15.7</v>
      </c>
      <c r="J53" s="28" t="n">
        <v>18</v>
      </c>
      <c r="K53" s="28" t="n">
        <f aca="false">SUM(E53:J53)</f>
        <v>101.1</v>
      </c>
      <c r="L53" s="10" t="s">
        <v>325</v>
      </c>
    </row>
    <row r="54" customFormat="false" ht="15" hidden="false" customHeight="false" outlineLevel="0" collapsed="false">
      <c r="A54" s="10" t="s">
        <v>381</v>
      </c>
      <c r="B54" s="10" t="s">
        <v>227</v>
      </c>
      <c r="C54" s="10" t="s">
        <v>228</v>
      </c>
      <c r="D54" s="10" t="s">
        <v>324</v>
      </c>
      <c r="E54" s="28" t="n">
        <v>17.8</v>
      </c>
      <c r="F54" s="28" t="n">
        <v>17.3</v>
      </c>
      <c r="G54" s="28" t="n">
        <v>18.6</v>
      </c>
      <c r="H54" s="28" t="n">
        <v>16.8</v>
      </c>
      <c r="I54" s="28" t="n">
        <v>18.7</v>
      </c>
      <c r="J54" s="28" t="n">
        <v>18.2</v>
      </c>
      <c r="K54" s="28" t="n">
        <f aca="false">SUM(E54:J54)</f>
        <v>107.4</v>
      </c>
      <c r="L54" s="10" t="s">
        <v>332</v>
      </c>
    </row>
    <row r="55" customFormat="false" ht="15" hidden="false" customHeight="false" outlineLevel="0" collapsed="false">
      <c r="A55" s="10" t="s">
        <v>382</v>
      </c>
      <c r="B55" s="10" t="s">
        <v>227</v>
      </c>
      <c r="C55" s="10" t="s">
        <v>228</v>
      </c>
      <c r="D55" s="10" t="s">
        <v>327</v>
      </c>
      <c r="E55" s="28" t="n">
        <v>17.5</v>
      </c>
      <c r="F55" s="28" t="n">
        <v>17.2</v>
      </c>
      <c r="G55" s="28" t="n">
        <v>18.2</v>
      </c>
      <c r="H55" s="28" t="n">
        <v>18</v>
      </c>
      <c r="I55" s="28" t="n">
        <v>15.1</v>
      </c>
      <c r="J55" s="28" t="n">
        <v>19.1</v>
      </c>
      <c r="K55" s="28" t="n">
        <f aca="false">SUM(E55:J55)</f>
        <v>105.1</v>
      </c>
      <c r="L55" s="10" t="s">
        <v>322</v>
      </c>
    </row>
    <row r="56" customFormat="false" ht="15" hidden="false" customHeight="false" outlineLevel="0" collapsed="false">
      <c r="A56" s="10" t="s">
        <v>383</v>
      </c>
      <c r="B56" s="10" t="s">
        <v>231</v>
      </c>
      <c r="C56" s="10" t="s">
        <v>232</v>
      </c>
      <c r="D56" s="10" t="s">
        <v>321</v>
      </c>
      <c r="E56" s="28" t="n">
        <v>18.6</v>
      </c>
      <c r="F56" s="28" t="n">
        <v>18.3</v>
      </c>
      <c r="G56" s="28" t="n">
        <v>17.1</v>
      </c>
      <c r="H56" s="28" t="n">
        <v>18</v>
      </c>
      <c r="I56" s="28" t="n">
        <v>17.8</v>
      </c>
      <c r="J56" s="28" t="n">
        <v>19.4</v>
      </c>
      <c r="K56" s="28" t="n">
        <f aca="false">SUM(E56:J56)</f>
        <v>109.2</v>
      </c>
      <c r="L56" s="10" t="s">
        <v>330</v>
      </c>
    </row>
    <row r="57" customFormat="false" ht="15" hidden="false" customHeight="false" outlineLevel="0" collapsed="false">
      <c r="A57" s="10" t="s">
        <v>384</v>
      </c>
      <c r="B57" s="10" t="s">
        <v>231</v>
      </c>
      <c r="C57" s="10" t="s">
        <v>232</v>
      </c>
      <c r="D57" s="10" t="s">
        <v>324</v>
      </c>
      <c r="E57" s="28" t="n">
        <v>19.6</v>
      </c>
      <c r="F57" s="28" t="n">
        <v>18.8</v>
      </c>
      <c r="G57" s="28" t="n">
        <v>18.8</v>
      </c>
      <c r="H57" s="28" t="n">
        <v>18.3</v>
      </c>
      <c r="I57" s="28" t="n">
        <v>18.4</v>
      </c>
      <c r="J57" s="28" t="n">
        <v>17.9</v>
      </c>
      <c r="K57" s="28" t="n">
        <f aca="false">SUM(E57:J57)</f>
        <v>111.8</v>
      </c>
      <c r="L57" s="10" t="s">
        <v>330</v>
      </c>
    </row>
    <row r="58" customFormat="false" ht="15" hidden="false" customHeight="false" outlineLevel="0" collapsed="false">
      <c r="A58" s="10" t="s">
        <v>385</v>
      </c>
      <c r="B58" s="10" t="s">
        <v>231</v>
      </c>
      <c r="C58" s="10" t="s">
        <v>232</v>
      </c>
      <c r="D58" s="10" t="s">
        <v>327</v>
      </c>
      <c r="E58" s="28" t="n">
        <v>19.3</v>
      </c>
      <c r="F58" s="28" t="n">
        <v>19.1</v>
      </c>
      <c r="G58" s="28" t="n">
        <v>18.3</v>
      </c>
      <c r="H58" s="28" t="n">
        <v>19.6</v>
      </c>
      <c r="I58" s="28" t="n">
        <v>18.5</v>
      </c>
      <c r="J58" s="28" t="n">
        <v>17.5</v>
      </c>
      <c r="K58" s="28" t="n">
        <f aca="false">SUM(E58:J58)</f>
        <v>112.3</v>
      </c>
      <c r="L58" s="10" t="s">
        <v>322</v>
      </c>
    </row>
    <row r="59" customFormat="false" ht="15" hidden="false" customHeight="false" outlineLevel="0" collapsed="false">
      <c r="A59" s="10" t="s">
        <v>386</v>
      </c>
      <c r="B59" s="10" t="s">
        <v>235</v>
      </c>
      <c r="C59" s="10" t="s">
        <v>236</v>
      </c>
      <c r="D59" s="10" t="s">
        <v>321</v>
      </c>
      <c r="E59" s="28" t="n">
        <v>20</v>
      </c>
      <c r="F59" s="28" t="n">
        <v>18.8</v>
      </c>
      <c r="G59" s="28" t="n">
        <v>18.3</v>
      </c>
      <c r="H59" s="28" t="n">
        <v>18.8</v>
      </c>
      <c r="I59" s="28" t="n">
        <v>20</v>
      </c>
      <c r="J59" s="28" t="n">
        <v>18.6</v>
      </c>
      <c r="K59" s="28" t="n">
        <f aca="false">SUM(E59:J59)</f>
        <v>114.5</v>
      </c>
      <c r="L59" s="10" t="s">
        <v>328</v>
      </c>
    </row>
    <row r="60" customFormat="false" ht="15" hidden="false" customHeight="false" outlineLevel="0" collapsed="false">
      <c r="A60" s="10" t="s">
        <v>387</v>
      </c>
      <c r="B60" s="10" t="s">
        <v>235</v>
      </c>
      <c r="C60" s="10" t="s">
        <v>236</v>
      </c>
      <c r="D60" s="10" t="s">
        <v>324</v>
      </c>
      <c r="E60" s="28" t="n">
        <v>18</v>
      </c>
      <c r="F60" s="28" t="n">
        <v>19.1</v>
      </c>
      <c r="G60" s="28" t="n">
        <v>19.3</v>
      </c>
      <c r="H60" s="28" t="n">
        <v>18.2</v>
      </c>
      <c r="I60" s="28" t="n">
        <v>17</v>
      </c>
      <c r="J60" s="28" t="n">
        <v>18.3</v>
      </c>
      <c r="K60" s="28" t="n">
        <f aca="false">SUM(E60:J60)</f>
        <v>109.9</v>
      </c>
      <c r="L60" s="10" t="s">
        <v>325</v>
      </c>
    </row>
    <row r="61" customFormat="false" ht="15" hidden="false" customHeight="false" outlineLevel="0" collapsed="false">
      <c r="A61" s="10" t="s">
        <v>388</v>
      </c>
      <c r="B61" s="10" t="s">
        <v>235</v>
      </c>
      <c r="C61" s="10" t="s">
        <v>236</v>
      </c>
      <c r="D61" s="10" t="s">
        <v>327</v>
      </c>
      <c r="E61" s="28" t="n">
        <v>16.5</v>
      </c>
      <c r="F61" s="28" t="n">
        <v>18.3</v>
      </c>
      <c r="G61" s="28" t="n">
        <v>16.9</v>
      </c>
      <c r="H61" s="28" t="n">
        <v>17.8</v>
      </c>
      <c r="I61" s="28" t="n">
        <v>18.2</v>
      </c>
      <c r="J61" s="28" t="n">
        <v>17.8</v>
      </c>
      <c r="K61" s="28" t="n">
        <f aca="false">SUM(E61:J61)</f>
        <v>105.5</v>
      </c>
      <c r="L61" s="10" t="s">
        <v>330</v>
      </c>
    </row>
    <row r="62" customFormat="false" ht="15" hidden="false" customHeight="false" outlineLevel="0" collapsed="false">
      <c r="A62" s="10" t="s">
        <v>389</v>
      </c>
      <c r="B62" s="10" t="s">
        <v>239</v>
      </c>
      <c r="C62" s="10" t="s">
        <v>240</v>
      </c>
      <c r="D62" s="10" t="s">
        <v>321</v>
      </c>
      <c r="E62" s="28" t="n">
        <v>19.7</v>
      </c>
      <c r="F62" s="28" t="n">
        <v>20</v>
      </c>
      <c r="G62" s="28" t="n">
        <v>17.8</v>
      </c>
      <c r="H62" s="28" t="n">
        <v>19.4</v>
      </c>
      <c r="I62" s="28" t="n">
        <v>16.6</v>
      </c>
      <c r="J62" s="28" t="n">
        <v>19.7</v>
      </c>
      <c r="K62" s="28" t="n">
        <f aca="false">SUM(E62:J62)</f>
        <v>113.2</v>
      </c>
      <c r="L62" s="10" t="s">
        <v>322</v>
      </c>
    </row>
    <row r="63" customFormat="false" ht="15" hidden="false" customHeight="false" outlineLevel="0" collapsed="false">
      <c r="A63" s="10" t="s">
        <v>390</v>
      </c>
      <c r="B63" s="10" t="s">
        <v>239</v>
      </c>
      <c r="C63" s="10" t="s">
        <v>240</v>
      </c>
      <c r="D63" s="10" t="s">
        <v>324</v>
      </c>
      <c r="E63" s="28" t="n">
        <v>18.3</v>
      </c>
      <c r="F63" s="28" t="n">
        <v>18.1</v>
      </c>
      <c r="G63" s="28" t="n">
        <v>18</v>
      </c>
      <c r="H63" s="28" t="n">
        <v>19.1</v>
      </c>
      <c r="I63" s="28" t="n">
        <v>16.8</v>
      </c>
      <c r="J63" s="28" t="n">
        <v>19.2</v>
      </c>
      <c r="K63" s="28" t="n">
        <f aca="false">SUM(E63:J63)</f>
        <v>109.5</v>
      </c>
      <c r="L63" s="10" t="s">
        <v>332</v>
      </c>
    </row>
    <row r="64" customFormat="false" ht="15" hidden="false" customHeight="false" outlineLevel="0" collapsed="false">
      <c r="A64" s="10" t="s">
        <v>391</v>
      </c>
      <c r="B64" s="10" t="s">
        <v>239</v>
      </c>
      <c r="C64" s="10" t="s">
        <v>240</v>
      </c>
      <c r="D64" s="10" t="s">
        <v>327</v>
      </c>
      <c r="E64" s="28" t="n">
        <v>20</v>
      </c>
      <c r="F64" s="28" t="n">
        <v>19.4</v>
      </c>
      <c r="G64" s="28" t="n">
        <v>18.4</v>
      </c>
      <c r="H64" s="28" t="n">
        <v>16.2</v>
      </c>
      <c r="I64" s="28" t="n">
        <v>17.1</v>
      </c>
      <c r="J64" s="28" t="n">
        <v>18.1</v>
      </c>
      <c r="K64" s="28" t="n">
        <f aca="false">SUM(E64:J64)</f>
        <v>109.2</v>
      </c>
      <c r="L64" s="10" t="s">
        <v>325</v>
      </c>
    </row>
    <row r="65" customFormat="false" ht="15" hidden="false" customHeight="false" outlineLevel="0" collapsed="false">
      <c r="A65" s="10" t="s">
        <v>392</v>
      </c>
      <c r="B65" s="10" t="s">
        <v>242</v>
      </c>
      <c r="C65" s="10" t="s">
        <v>243</v>
      </c>
      <c r="D65" s="10" t="s">
        <v>321</v>
      </c>
      <c r="E65" s="28" t="n">
        <v>19</v>
      </c>
      <c r="F65" s="28" t="n">
        <v>17.4</v>
      </c>
      <c r="G65" s="28" t="n">
        <v>18.1</v>
      </c>
      <c r="H65" s="28" t="n">
        <v>19.1</v>
      </c>
      <c r="I65" s="28" t="n">
        <v>18.5</v>
      </c>
      <c r="J65" s="28" t="n">
        <v>19</v>
      </c>
      <c r="K65" s="28" t="n">
        <f aca="false">SUM(E65:J65)</f>
        <v>111.1</v>
      </c>
      <c r="L65" s="10" t="s">
        <v>322</v>
      </c>
    </row>
    <row r="66" customFormat="false" ht="15" hidden="false" customHeight="false" outlineLevel="0" collapsed="false">
      <c r="A66" s="10" t="s">
        <v>393</v>
      </c>
      <c r="B66" s="10" t="s">
        <v>242</v>
      </c>
      <c r="C66" s="10" t="s">
        <v>243</v>
      </c>
      <c r="D66" s="10" t="s">
        <v>324</v>
      </c>
      <c r="E66" s="28" t="n">
        <v>16.5</v>
      </c>
      <c r="F66" s="28" t="n">
        <v>19.2</v>
      </c>
      <c r="G66" s="28" t="n">
        <v>19.9</v>
      </c>
      <c r="H66" s="28" t="n">
        <v>15.7</v>
      </c>
      <c r="I66" s="28" t="n">
        <v>17.5</v>
      </c>
      <c r="J66" s="28" t="n">
        <v>17.8</v>
      </c>
      <c r="K66" s="28" t="n">
        <f aca="false">SUM(E66:J66)</f>
        <v>106.6</v>
      </c>
      <c r="L66" s="10" t="s">
        <v>340</v>
      </c>
    </row>
    <row r="67" customFormat="false" ht="15" hidden="false" customHeight="false" outlineLevel="0" collapsed="false">
      <c r="A67" s="10" t="s">
        <v>394</v>
      </c>
      <c r="B67" s="10" t="s">
        <v>242</v>
      </c>
      <c r="C67" s="10" t="s">
        <v>243</v>
      </c>
      <c r="D67" s="10" t="s">
        <v>327</v>
      </c>
      <c r="E67" s="28" t="n">
        <v>18.4</v>
      </c>
      <c r="F67" s="28" t="n">
        <v>17.9</v>
      </c>
      <c r="G67" s="28" t="n">
        <v>17.6</v>
      </c>
      <c r="H67" s="28" t="n">
        <v>18.5</v>
      </c>
      <c r="I67" s="28" t="n">
        <v>19.1</v>
      </c>
      <c r="J67" s="28" t="n">
        <v>18.3</v>
      </c>
      <c r="K67" s="28" t="n">
        <f aca="false">SUM(E67:J67)</f>
        <v>109.8</v>
      </c>
      <c r="L67" s="10" t="s">
        <v>322</v>
      </c>
    </row>
    <row r="68" customFormat="false" ht="15" hidden="false" customHeight="false" outlineLevel="0" collapsed="false">
      <c r="A68" s="10" t="s">
        <v>395</v>
      </c>
      <c r="B68" s="10" t="s">
        <v>246</v>
      </c>
      <c r="C68" s="10" t="s">
        <v>247</v>
      </c>
      <c r="D68" s="10" t="s">
        <v>321</v>
      </c>
      <c r="E68" s="28" t="n">
        <v>19.5</v>
      </c>
      <c r="F68" s="28" t="n">
        <v>20</v>
      </c>
      <c r="G68" s="28" t="n">
        <v>18.3</v>
      </c>
      <c r="H68" s="28" t="n">
        <v>16.6</v>
      </c>
      <c r="I68" s="28" t="n">
        <v>19.8</v>
      </c>
      <c r="J68" s="28" t="n">
        <v>19.5</v>
      </c>
      <c r="K68" s="28" t="n">
        <f aca="false">SUM(E68:J68)</f>
        <v>113.7</v>
      </c>
      <c r="L68" s="10" t="s">
        <v>340</v>
      </c>
    </row>
    <row r="69" customFormat="false" ht="15" hidden="false" customHeight="false" outlineLevel="0" collapsed="false">
      <c r="A69" s="10" t="s">
        <v>396</v>
      </c>
      <c r="B69" s="10" t="s">
        <v>246</v>
      </c>
      <c r="C69" s="10" t="s">
        <v>247</v>
      </c>
      <c r="D69" s="10" t="s">
        <v>324</v>
      </c>
      <c r="E69" s="28" t="n">
        <v>18.1</v>
      </c>
      <c r="F69" s="28" t="n">
        <v>19.2</v>
      </c>
      <c r="G69" s="28" t="n">
        <v>18.7</v>
      </c>
      <c r="H69" s="28" t="n">
        <v>19.5</v>
      </c>
      <c r="I69" s="28" t="n">
        <v>18.3</v>
      </c>
      <c r="J69" s="28" t="n">
        <v>17.7</v>
      </c>
      <c r="K69" s="28" t="n">
        <f aca="false">SUM(E69:J69)</f>
        <v>111.5</v>
      </c>
      <c r="L69" s="10" t="s">
        <v>328</v>
      </c>
    </row>
    <row r="70" customFormat="false" ht="15" hidden="false" customHeight="false" outlineLevel="0" collapsed="false">
      <c r="A70" s="10" t="s">
        <v>397</v>
      </c>
      <c r="B70" s="10" t="s">
        <v>246</v>
      </c>
      <c r="C70" s="10" t="s">
        <v>247</v>
      </c>
      <c r="D70" s="10" t="s">
        <v>327</v>
      </c>
      <c r="E70" s="28" t="n">
        <v>17.7</v>
      </c>
      <c r="F70" s="28" t="n">
        <v>19.5</v>
      </c>
      <c r="G70" s="28" t="n">
        <v>18.4</v>
      </c>
      <c r="H70" s="28" t="n">
        <v>18.7</v>
      </c>
      <c r="I70" s="28" t="n">
        <v>20</v>
      </c>
      <c r="J70" s="28" t="n">
        <v>18.9</v>
      </c>
      <c r="K70" s="28" t="n">
        <f aca="false">SUM(E70:J70)</f>
        <v>113.2</v>
      </c>
      <c r="L70" s="10" t="s">
        <v>325</v>
      </c>
    </row>
    <row r="71" customFormat="false" ht="15" hidden="false" customHeight="false" outlineLevel="0" collapsed="false">
      <c r="A71" s="10" t="s">
        <v>398</v>
      </c>
      <c r="B71" s="10" t="s">
        <v>250</v>
      </c>
      <c r="C71" s="10" t="s">
        <v>251</v>
      </c>
      <c r="D71" s="10" t="s">
        <v>321</v>
      </c>
      <c r="E71" s="28" t="n">
        <v>18.1</v>
      </c>
      <c r="F71" s="28" t="n">
        <v>19.2</v>
      </c>
      <c r="G71" s="28" t="n">
        <v>17.1</v>
      </c>
      <c r="H71" s="28" t="n">
        <v>19.3</v>
      </c>
      <c r="I71" s="28" t="n">
        <v>18.5</v>
      </c>
      <c r="J71" s="28" t="n">
        <v>18.4</v>
      </c>
      <c r="K71" s="28" t="n">
        <f aca="false">SUM(E71:J71)</f>
        <v>110.6</v>
      </c>
      <c r="L71" s="10" t="s">
        <v>325</v>
      </c>
    </row>
    <row r="72" customFormat="false" ht="15" hidden="false" customHeight="false" outlineLevel="0" collapsed="false">
      <c r="A72" s="10" t="s">
        <v>399</v>
      </c>
      <c r="B72" s="10" t="s">
        <v>250</v>
      </c>
      <c r="C72" s="10" t="s">
        <v>251</v>
      </c>
      <c r="D72" s="10" t="s">
        <v>324</v>
      </c>
      <c r="E72" s="28" t="n">
        <v>17.1</v>
      </c>
      <c r="F72" s="28" t="n">
        <v>18</v>
      </c>
      <c r="G72" s="28" t="n">
        <v>18.8</v>
      </c>
      <c r="H72" s="28" t="n">
        <v>16.8</v>
      </c>
      <c r="I72" s="28" t="n">
        <v>19.2</v>
      </c>
      <c r="J72" s="28" t="n">
        <v>18.9</v>
      </c>
      <c r="K72" s="28" t="n">
        <f aca="false">SUM(E72:J72)</f>
        <v>108.8</v>
      </c>
      <c r="L72" s="10" t="s">
        <v>322</v>
      </c>
    </row>
    <row r="73" customFormat="false" ht="15" hidden="false" customHeight="false" outlineLevel="0" collapsed="false">
      <c r="A73" s="10" t="s">
        <v>400</v>
      </c>
      <c r="B73" s="10" t="s">
        <v>250</v>
      </c>
      <c r="C73" s="10" t="s">
        <v>251</v>
      </c>
      <c r="D73" s="10" t="s">
        <v>327</v>
      </c>
      <c r="E73" s="28" t="n">
        <v>19.4</v>
      </c>
      <c r="F73" s="28" t="n">
        <v>18.5</v>
      </c>
      <c r="G73" s="28" t="n">
        <v>18.2</v>
      </c>
      <c r="H73" s="28" t="n">
        <v>17.5</v>
      </c>
      <c r="I73" s="28" t="n">
        <v>18</v>
      </c>
      <c r="J73" s="28" t="n">
        <v>19.5</v>
      </c>
      <c r="K73" s="28" t="n">
        <f aca="false">SUM(E73:J73)</f>
        <v>111.1</v>
      </c>
      <c r="L73" s="10" t="s">
        <v>325</v>
      </c>
    </row>
    <row r="74" customFormat="false" ht="15" hidden="false" customHeight="false" outlineLevel="0" collapsed="false">
      <c r="A74" s="10" t="s">
        <v>401</v>
      </c>
      <c r="B74" s="10" t="s">
        <v>253</v>
      </c>
      <c r="C74" s="10" t="s">
        <v>254</v>
      </c>
      <c r="D74" s="10" t="s">
        <v>321</v>
      </c>
      <c r="E74" s="28" t="n">
        <v>18.9</v>
      </c>
      <c r="F74" s="28" t="n">
        <v>18.3</v>
      </c>
      <c r="G74" s="28" t="n">
        <v>17.5</v>
      </c>
      <c r="H74" s="28" t="n">
        <v>17.3</v>
      </c>
      <c r="I74" s="28" t="n">
        <v>18.7</v>
      </c>
      <c r="J74" s="28" t="n">
        <v>17.7</v>
      </c>
      <c r="K74" s="28" t="n">
        <f aca="false">SUM(E74:J74)</f>
        <v>108.4</v>
      </c>
      <c r="L74" s="10" t="s">
        <v>332</v>
      </c>
    </row>
    <row r="75" customFormat="false" ht="15" hidden="false" customHeight="false" outlineLevel="0" collapsed="false">
      <c r="A75" s="10" t="s">
        <v>402</v>
      </c>
      <c r="B75" s="10" t="s">
        <v>253</v>
      </c>
      <c r="C75" s="10" t="s">
        <v>254</v>
      </c>
      <c r="D75" s="10" t="s">
        <v>324</v>
      </c>
      <c r="E75" s="28" t="n">
        <v>17.6</v>
      </c>
      <c r="F75" s="28" t="n">
        <v>17</v>
      </c>
      <c r="G75" s="28" t="n">
        <v>17.4</v>
      </c>
      <c r="H75" s="28" t="n">
        <v>20</v>
      </c>
      <c r="I75" s="28" t="n">
        <v>16.9</v>
      </c>
      <c r="J75" s="28" t="n">
        <v>19</v>
      </c>
      <c r="K75" s="28" t="n">
        <f aca="false">SUM(E75:J75)</f>
        <v>107.9</v>
      </c>
      <c r="L75" s="10" t="s">
        <v>340</v>
      </c>
    </row>
    <row r="76" customFormat="false" ht="15" hidden="false" customHeight="false" outlineLevel="0" collapsed="false">
      <c r="A76" s="10" t="s">
        <v>403</v>
      </c>
      <c r="B76" s="10" t="s">
        <v>253</v>
      </c>
      <c r="C76" s="10" t="s">
        <v>254</v>
      </c>
      <c r="D76" s="10" t="s">
        <v>327</v>
      </c>
      <c r="E76" s="28" t="n">
        <v>17.4</v>
      </c>
      <c r="F76" s="28" t="n">
        <v>18.5</v>
      </c>
      <c r="G76" s="28" t="n">
        <v>18.8</v>
      </c>
      <c r="H76" s="28" t="n">
        <v>17.8</v>
      </c>
      <c r="I76" s="28" t="n">
        <v>17.2</v>
      </c>
      <c r="J76" s="28" t="n">
        <v>17.7</v>
      </c>
      <c r="K76" s="28" t="n">
        <f aca="false">SUM(E76:J76)</f>
        <v>107.4</v>
      </c>
      <c r="L76" s="10" t="s">
        <v>325</v>
      </c>
    </row>
    <row r="77" customFormat="false" ht="15" hidden="false" customHeight="false" outlineLevel="0" collapsed="false">
      <c r="A77" s="10" t="s">
        <v>404</v>
      </c>
      <c r="B77" s="10" t="s">
        <v>257</v>
      </c>
      <c r="C77" s="10" t="s">
        <v>258</v>
      </c>
      <c r="D77" s="10" t="s">
        <v>321</v>
      </c>
      <c r="E77" s="28" t="n">
        <v>19.7</v>
      </c>
      <c r="F77" s="28" t="n">
        <v>18.4</v>
      </c>
      <c r="G77" s="28" t="n">
        <v>17.4</v>
      </c>
      <c r="H77" s="28" t="n">
        <v>19</v>
      </c>
      <c r="I77" s="28" t="n">
        <v>20</v>
      </c>
      <c r="J77" s="28" t="n">
        <v>19.9</v>
      </c>
      <c r="K77" s="28" t="n">
        <f aca="false">SUM(E77:J77)</f>
        <v>114.4</v>
      </c>
      <c r="L77" s="10" t="s">
        <v>322</v>
      </c>
    </row>
    <row r="78" customFormat="false" ht="15" hidden="false" customHeight="false" outlineLevel="0" collapsed="false">
      <c r="A78" s="10" t="s">
        <v>405</v>
      </c>
      <c r="B78" s="10" t="s">
        <v>257</v>
      </c>
      <c r="C78" s="10" t="s">
        <v>258</v>
      </c>
      <c r="D78" s="10" t="s">
        <v>324</v>
      </c>
      <c r="E78" s="28" t="n">
        <v>18.3</v>
      </c>
      <c r="F78" s="28" t="n">
        <v>18.8</v>
      </c>
      <c r="G78" s="28" t="n">
        <v>16.4</v>
      </c>
      <c r="H78" s="28" t="n">
        <v>17.8</v>
      </c>
      <c r="I78" s="28" t="n">
        <v>16.9</v>
      </c>
      <c r="J78" s="28" t="n">
        <v>19.3</v>
      </c>
      <c r="K78" s="28" t="n">
        <f aca="false">SUM(E78:J78)</f>
        <v>107.5</v>
      </c>
      <c r="L78" s="10" t="s">
        <v>325</v>
      </c>
    </row>
    <row r="79" customFormat="false" ht="15" hidden="false" customHeight="false" outlineLevel="0" collapsed="false">
      <c r="A79" s="10" t="s">
        <v>406</v>
      </c>
      <c r="B79" s="10" t="s">
        <v>257</v>
      </c>
      <c r="C79" s="10" t="s">
        <v>258</v>
      </c>
      <c r="D79" s="10" t="s">
        <v>327</v>
      </c>
      <c r="E79" s="28" t="n">
        <v>17.9</v>
      </c>
      <c r="F79" s="28" t="n">
        <v>18.4</v>
      </c>
      <c r="G79" s="28" t="n">
        <v>17.4</v>
      </c>
      <c r="H79" s="28" t="n">
        <v>19.5</v>
      </c>
      <c r="I79" s="28" t="n">
        <v>18.8</v>
      </c>
      <c r="J79" s="28" t="n">
        <v>17.3</v>
      </c>
      <c r="K79" s="28" t="n">
        <f aca="false">SUM(E79:J79)</f>
        <v>109.3</v>
      </c>
      <c r="L79" s="10" t="s">
        <v>340</v>
      </c>
    </row>
    <row r="80" customFormat="false" ht="15" hidden="false" customHeight="false" outlineLevel="0" collapsed="false">
      <c r="A80" s="10" t="s">
        <v>407</v>
      </c>
      <c r="B80" s="10" t="s">
        <v>261</v>
      </c>
      <c r="C80" s="10" t="s">
        <v>262</v>
      </c>
      <c r="D80" s="10" t="s">
        <v>321</v>
      </c>
      <c r="E80" s="28" t="n">
        <v>18.3</v>
      </c>
      <c r="F80" s="28" t="n">
        <v>20</v>
      </c>
      <c r="G80" s="28" t="n">
        <v>18.1</v>
      </c>
      <c r="H80" s="28" t="n">
        <v>17.6</v>
      </c>
      <c r="I80" s="28" t="n">
        <v>18.4</v>
      </c>
      <c r="J80" s="28" t="n">
        <v>19.1</v>
      </c>
      <c r="K80" s="28" t="n">
        <f aca="false">SUM(E80:J80)</f>
        <v>111.5</v>
      </c>
      <c r="L80" s="10" t="s">
        <v>325</v>
      </c>
    </row>
    <row r="81" customFormat="false" ht="15" hidden="false" customHeight="false" outlineLevel="0" collapsed="false">
      <c r="A81" s="10" t="s">
        <v>408</v>
      </c>
      <c r="B81" s="10" t="s">
        <v>261</v>
      </c>
      <c r="C81" s="10" t="s">
        <v>262</v>
      </c>
      <c r="D81" s="10" t="s">
        <v>324</v>
      </c>
      <c r="E81" s="28" t="n">
        <v>19</v>
      </c>
      <c r="F81" s="28" t="n">
        <v>18.2</v>
      </c>
      <c r="G81" s="28" t="n">
        <v>18.7</v>
      </c>
      <c r="H81" s="28" t="n">
        <v>18.1</v>
      </c>
      <c r="I81" s="28" t="n">
        <v>18.4</v>
      </c>
      <c r="J81" s="28" t="n">
        <v>18.1</v>
      </c>
      <c r="K81" s="28" t="n">
        <f aca="false">SUM(E81:J81)</f>
        <v>110.5</v>
      </c>
      <c r="L81" s="10" t="s">
        <v>340</v>
      </c>
    </row>
    <row r="82" customFormat="false" ht="15" hidden="false" customHeight="false" outlineLevel="0" collapsed="false">
      <c r="A82" s="10" t="s">
        <v>409</v>
      </c>
      <c r="B82" s="10" t="s">
        <v>261</v>
      </c>
      <c r="C82" s="10" t="s">
        <v>262</v>
      </c>
      <c r="D82" s="10" t="s">
        <v>327</v>
      </c>
      <c r="E82" s="28" t="n">
        <v>18.7</v>
      </c>
      <c r="F82" s="28" t="n">
        <v>17.7</v>
      </c>
      <c r="G82" s="28" t="n">
        <v>18.1</v>
      </c>
      <c r="H82" s="28" t="n">
        <v>17.4</v>
      </c>
      <c r="I82" s="28" t="n">
        <v>19.2</v>
      </c>
      <c r="J82" s="28" t="n">
        <v>19.1</v>
      </c>
      <c r="K82" s="28" t="n">
        <f aca="false">SUM(E82:J82)</f>
        <v>110.2</v>
      </c>
      <c r="L82" s="10" t="s">
        <v>322</v>
      </c>
    </row>
    <row r="83" customFormat="false" ht="15" hidden="false" customHeight="false" outlineLevel="0" collapsed="false">
      <c r="A83" s="10" t="s">
        <v>410</v>
      </c>
      <c r="B83" s="10" t="s">
        <v>266</v>
      </c>
      <c r="C83" s="10" t="s">
        <v>267</v>
      </c>
      <c r="D83" s="10" t="s">
        <v>321</v>
      </c>
      <c r="E83" s="28" t="n">
        <v>19.6</v>
      </c>
      <c r="F83" s="28" t="n">
        <v>18.4</v>
      </c>
      <c r="G83" s="28" t="n">
        <v>18.3</v>
      </c>
      <c r="H83" s="28" t="n">
        <v>17.8</v>
      </c>
      <c r="I83" s="28" t="n">
        <v>19.1</v>
      </c>
      <c r="J83" s="28" t="n">
        <v>18</v>
      </c>
      <c r="K83" s="28" t="n">
        <f aca="false">SUM(E83:J83)</f>
        <v>111.2</v>
      </c>
      <c r="L83" s="10" t="s">
        <v>332</v>
      </c>
    </row>
    <row r="84" customFormat="false" ht="15" hidden="false" customHeight="false" outlineLevel="0" collapsed="false">
      <c r="A84" s="10" t="s">
        <v>411</v>
      </c>
      <c r="B84" s="10" t="s">
        <v>266</v>
      </c>
      <c r="C84" s="10" t="s">
        <v>267</v>
      </c>
      <c r="D84" s="10" t="s">
        <v>324</v>
      </c>
      <c r="E84" s="28" t="n">
        <v>19.8</v>
      </c>
      <c r="F84" s="28" t="n">
        <v>18.5</v>
      </c>
      <c r="G84" s="28" t="n">
        <v>16.9</v>
      </c>
      <c r="H84" s="28" t="n">
        <v>19</v>
      </c>
      <c r="I84" s="28" t="n">
        <v>18.3</v>
      </c>
      <c r="J84" s="28" t="n">
        <v>19.4</v>
      </c>
      <c r="K84" s="28" t="n">
        <f aca="false">SUM(E84:J84)</f>
        <v>111.9</v>
      </c>
      <c r="L84" s="10" t="s">
        <v>340</v>
      </c>
    </row>
    <row r="85" customFormat="false" ht="15" hidden="false" customHeight="false" outlineLevel="0" collapsed="false">
      <c r="A85" s="10" t="s">
        <v>412</v>
      </c>
      <c r="B85" s="10" t="s">
        <v>266</v>
      </c>
      <c r="C85" s="10" t="s">
        <v>267</v>
      </c>
      <c r="D85" s="10" t="s">
        <v>327</v>
      </c>
      <c r="E85" s="28" t="n">
        <v>20</v>
      </c>
      <c r="F85" s="28" t="n">
        <v>19.2</v>
      </c>
      <c r="G85" s="28" t="n">
        <v>17.9</v>
      </c>
      <c r="H85" s="28" t="n">
        <v>16.8</v>
      </c>
      <c r="I85" s="28" t="n">
        <v>19.4</v>
      </c>
      <c r="J85" s="28" t="n">
        <v>20</v>
      </c>
      <c r="K85" s="28" t="n">
        <f aca="false">SUM(E85:J85)</f>
        <v>113.3</v>
      </c>
      <c r="L85" s="10" t="s">
        <v>330</v>
      </c>
    </row>
    <row r="86" customFormat="false" ht="15" hidden="false" customHeight="false" outlineLevel="0" collapsed="false">
      <c r="A86" s="10" t="s">
        <v>413</v>
      </c>
      <c r="B86" s="10" t="s">
        <v>270</v>
      </c>
      <c r="C86" s="10" t="s">
        <v>271</v>
      </c>
      <c r="D86" s="10" t="s">
        <v>321</v>
      </c>
      <c r="E86" s="28" t="n">
        <v>20</v>
      </c>
      <c r="F86" s="28" t="n">
        <v>18.7</v>
      </c>
      <c r="G86" s="28" t="n">
        <v>19.7</v>
      </c>
      <c r="H86" s="28" t="n">
        <v>18.8</v>
      </c>
      <c r="I86" s="28" t="n">
        <v>20</v>
      </c>
      <c r="J86" s="28" t="n">
        <v>19.4</v>
      </c>
      <c r="K86" s="28" t="n">
        <f aca="false">SUM(E86:J86)</f>
        <v>116.6</v>
      </c>
      <c r="L86" s="10" t="s">
        <v>325</v>
      </c>
    </row>
    <row r="87" customFormat="false" ht="15" hidden="false" customHeight="false" outlineLevel="0" collapsed="false">
      <c r="A87" s="10" t="s">
        <v>414</v>
      </c>
      <c r="B87" s="10" t="s">
        <v>270</v>
      </c>
      <c r="C87" s="10" t="s">
        <v>271</v>
      </c>
      <c r="D87" s="10" t="s">
        <v>324</v>
      </c>
      <c r="E87" s="28" t="n">
        <v>18.1</v>
      </c>
      <c r="F87" s="28" t="n">
        <v>17.2</v>
      </c>
      <c r="G87" s="28" t="n">
        <v>19.8</v>
      </c>
      <c r="H87" s="28" t="n">
        <v>17.3</v>
      </c>
      <c r="I87" s="28" t="n">
        <v>19.4</v>
      </c>
      <c r="J87" s="28" t="n">
        <v>19.1</v>
      </c>
      <c r="K87" s="28" t="n">
        <f aca="false">SUM(E87:J87)</f>
        <v>110.9</v>
      </c>
      <c r="L87" s="10" t="s">
        <v>328</v>
      </c>
    </row>
    <row r="88" customFormat="false" ht="15" hidden="false" customHeight="false" outlineLevel="0" collapsed="false">
      <c r="A88" s="10" t="s">
        <v>415</v>
      </c>
      <c r="B88" s="10" t="s">
        <v>270</v>
      </c>
      <c r="C88" s="10" t="s">
        <v>271</v>
      </c>
      <c r="D88" s="10" t="s">
        <v>327</v>
      </c>
      <c r="E88" s="28" t="n">
        <v>17.6</v>
      </c>
      <c r="F88" s="28" t="n">
        <v>18</v>
      </c>
      <c r="G88" s="28" t="n">
        <v>18.7</v>
      </c>
      <c r="H88" s="28" t="n">
        <v>19.3</v>
      </c>
      <c r="I88" s="28" t="n">
        <v>19.7</v>
      </c>
      <c r="J88" s="28" t="n">
        <v>18</v>
      </c>
      <c r="K88" s="28" t="n">
        <f aca="false">SUM(E88:J88)</f>
        <v>111.3</v>
      </c>
      <c r="L88" s="10" t="s">
        <v>322</v>
      </c>
    </row>
    <row r="89" customFormat="false" ht="15" hidden="false" customHeight="false" outlineLevel="0" collapsed="false">
      <c r="A89" s="10" t="s">
        <v>416</v>
      </c>
      <c r="B89" s="10" t="s">
        <v>273</v>
      </c>
      <c r="C89" s="10" t="s">
        <v>274</v>
      </c>
      <c r="D89" s="10" t="s">
        <v>321</v>
      </c>
      <c r="E89" s="28" t="n">
        <v>17.6</v>
      </c>
      <c r="F89" s="28" t="n">
        <v>18.1</v>
      </c>
      <c r="G89" s="28" t="n">
        <v>18.9</v>
      </c>
      <c r="H89" s="28" t="n">
        <v>18.4</v>
      </c>
      <c r="I89" s="28" t="n">
        <v>20</v>
      </c>
      <c r="J89" s="28" t="n">
        <v>20</v>
      </c>
      <c r="K89" s="28" t="n">
        <f aca="false">SUM(E89:J89)</f>
        <v>113</v>
      </c>
      <c r="L89" s="10" t="s">
        <v>322</v>
      </c>
    </row>
    <row r="90" customFormat="false" ht="15" hidden="false" customHeight="false" outlineLevel="0" collapsed="false">
      <c r="A90" s="10" t="s">
        <v>417</v>
      </c>
      <c r="B90" s="10" t="s">
        <v>273</v>
      </c>
      <c r="C90" s="10" t="s">
        <v>274</v>
      </c>
      <c r="D90" s="10" t="s">
        <v>324</v>
      </c>
      <c r="E90" s="28" t="n">
        <v>17.1</v>
      </c>
      <c r="F90" s="28" t="n">
        <v>18</v>
      </c>
      <c r="G90" s="28" t="n">
        <v>19</v>
      </c>
      <c r="H90" s="28" t="n">
        <v>18</v>
      </c>
      <c r="I90" s="28" t="n">
        <v>19.4</v>
      </c>
      <c r="J90" s="28" t="n">
        <v>17.8</v>
      </c>
      <c r="K90" s="28" t="n">
        <f aca="false">SUM(E90:J90)</f>
        <v>109.3</v>
      </c>
      <c r="L90" s="10" t="s">
        <v>325</v>
      </c>
    </row>
    <row r="91" customFormat="false" ht="15" hidden="false" customHeight="false" outlineLevel="0" collapsed="false">
      <c r="A91" s="10" t="s">
        <v>418</v>
      </c>
      <c r="B91" s="10" t="s">
        <v>273</v>
      </c>
      <c r="C91" s="10" t="s">
        <v>274</v>
      </c>
      <c r="D91" s="10" t="s">
        <v>327</v>
      </c>
      <c r="E91" s="28" t="n">
        <v>17.4</v>
      </c>
      <c r="F91" s="28" t="n">
        <v>16.9</v>
      </c>
      <c r="G91" s="28" t="n">
        <v>19.7</v>
      </c>
      <c r="H91" s="28" t="n">
        <v>18.5</v>
      </c>
      <c r="I91" s="28" t="n">
        <v>19.2</v>
      </c>
      <c r="J91" s="28" t="n">
        <v>17.3</v>
      </c>
      <c r="K91" s="28" t="n">
        <f aca="false">SUM(E91:J91)</f>
        <v>109</v>
      </c>
      <c r="L91" s="10" t="s">
        <v>328</v>
      </c>
    </row>
    <row r="92" customFormat="false" ht="15" hidden="false" customHeight="false" outlineLevel="0" collapsed="false">
      <c r="A92" s="10" t="s">
        <v>419</v>
      </c>
      <c r="B92" s="10" t="s">
        <v>277</v>
      </c>
      <c r="C92" s="10" t="s">
        <v>278</v>
      </c>
      <c r="D92" s="10" t="s">
        <v>321</v>
      </c>
      <c r="E92" s="28" t="n">
        <v>20</v>
      </c>
      <c r="F92" s="28" t="n">
        <v>19.7</v>
      </c>
      <c r="G92" s="28" t="n">
        <v>19.2</v>
      </c>
      <c r="H92" s="28" t="n">
        <v>18.9</v>
      </c>
      <c r="I92" s="28" t="n">
        <v>16</v>
      </c>
      <c r="J92" s="28" t="n">
        <v>18.9</v>
      </c>
      <c r="K92" s="28" t="n">
        <f aca="false">SUM(E92:J92)</f>
        <v>112.7</v>
      </c>
      <c r="L92" s="10" t="s">
        <v>325</v>
      </c>
    </row>
    <row r="93" customFormat="false" ht="15" hidden="false" customHeight="false" outlineLevel="0" collapsed="false">
      <c r="A93" s="10" t="s">
        <v>420</v>
      </c>
      <c r="B93" s="10" t="s">
        <v>277</v>
      </c>
      <c r="C93" s="10" t="s">
        <v>278</v>
      </c>
      <c r="D93" s="10" t="s">
        <v>324</v>
      </c>
      <c r="E93" s="28" t="n">
        <v>19.6</v>
      </c>
      <c r="F93" s="28" t="n">
        <v>19.9</v>
      </c>
      <c r="G93" s="28" t="n">
        <v>18.1</v>
      </c>
      <c r="H93" s="28" t="n">
        <v>18.9</v>
      </c>
      <c r="I93" s="28" t="n">
        <v>18.8</v>
      </c>
      <c r="J93" s="28" t="n">
        <v>17</v>
      </c>
      <c r="K93" s="28" t="n">
        <f aca="false">SUM(E93:J93)</f>
        <v>112.3</v>
      </c>
      <c r="L93" s="10" t="s">
        <v>332</v>
      </c>
    </row>
    <row r="94" customFormat="false" ht="15" hidden="false" customHeight="false" outlineLevel="0" collapsed="false">
      <c r="A94" s="10" t="s">
        <v>421</v>
      </c>
      <c r="B94" s="10" t="s">
        <v>277</v>
      </c>
      <c r="C94" s="10" t="s">
        <v>278</v>
      </c>
      <c r="D94" s="10" t="s">
        <v>327</v>
      </c>
      <c r="E94" s="28" t="n">
        <v>18.7</v>
      </c>
      <c r="F94" s="28" t="n">
        <v>17.7</v>
      </c>
      <c r="G94" s="28" t="n">
        <v>19.2</v>
      </c>
      <c r="H94" s="28" t="n">
        <v>18.9</v>
      </c>
      <c r="I94" s="28" t="n">
        <v>19.1</v>
      </c>
      <c r="J94" s="28" t="n">
        <v>19.6</v>
      </c>
      <c r="K94" s="28" t="n">
        <f aca="false">SUM(E94:J94)</f>
        <v>113.2</v>
      </c>
      <c r="L94" s="10" t="s">
        <v>340</v>
      </c>
    </row>
    <row r="95" customFormat="false" ht="15" hidden="false" customHeight="false" outlineLevel="0" collapsed="false">
      <c r="A95" s="10" t="s">
        <v>422</v>
      </c>
      <c r="B95" s="10" t="s">
        <v>281</v>
      </c>
      <c r="C95" s="10" t="s">
        <v>282</v>
      </c>
      <c r="D95" s="10" t="s">
        <v>321</v>
      </c>
      <c r="E95" s="28" t="n">
        <v>17.3</v>
      </c>
      <c r="F95" s="28" t="n">
        <v>19.3</v>
      </c>
      <c r="G95" s="28" t="n">
        <v>18.4</v>
      </c>
      <c r="H95" s="28" t="n">
        <v>18.5</v>
      </c>
      <c r="I95" s="28" t="n">
        <v>18.7</v>
      </c>
      <c r="J95" s="28" t="n">
        <v>18.2</v>
      </c>
      <c r="K95" s="28" t="n">
        <f aca="false">SUM(E95:J95)</f>
        <v>110.4</v>
      </c>
      <c r="L95" s="10" t="s">
        <v>330</v>
      </c>
    </row>
    <row r="96" customFormat="false" ht="15" hidden="false" customHeight="false" outlineLevel="0" collapsed="false">
      <c r="A96" s="10" t="s">
        <v>423</v>
      </c>
      <c r="B96" s="10" t="s">
        <v>281</v>
      </c>
      <c r="C96" s="10" t="s">
        <v>282</v>
      </c>
      <c r="D96" s="10" t="s">
        <v>324</v>
      </c>
      <c r="E96" s="28" t="n">
        <v>17.1</v>
      </c>
      <c r="F96" s="28" t="n">
        <v>16.9</v>
      </c>
      <c r="G96" s="28" t="n">
        <v>18.5</v>
      </c>
      <c r="H96" s="28" t="n">
        <v>18.3</v>
      </c>
      <c r="I96" s="28" t="n">
        <v>17</v>
      </c>
      <c r="J96" s="28" t="n">
        <v>18.1</v>
      </c>
      <c r="K96" s="28" t="n">
        <f aca="false">SUM(E96:J96)</f>
        <v>105.9</v>
      </c>
      <c r="L96" s="10" t="s">
        <v>340</v>
      </c>
    </row>
    <row r="97" customFormat="false" ht="15" hidden="false" customHeight="false" outlineLevel="0" collapsed="false">
      <c r="A97" s="10" t="s">
        <v>424</v>
      </c>
      <c r="B97" s="10" t="s">
        <v>281</v>
      </c>
      <c r="C97" s="10" t="s">
        <v>282</v>
      </c>
      <c r="D97" s="10" t="s">
        <v>327</v>
      </c>
      <c r="E97" s="28" t="n">
        <v>16.5</v>
      </c>
      <c r="F97" s="28" t="n">
        <v>18.6</v>
      </c>
      <c r="G97" s="28" t="n">
        <v>19.1</v>
      </c>
      <c r="H97" s="28" t="n">
        <v>17.6</v>
      </c>
      <c r="I97" s="28" t="n">
        <v>16.4</v>
      </c>
      <c r="J97" s="28" t="n">
        <v>17.4</v>
      </c>
      <c r="K97" s="28" t="n">
        <f aca="false">SUM(E97:J97)</f>
        <v>105.6</v>
      </c>
      <c r="L97" s="10" t="s">
        <v>330</v>
      </c>
    </row>
    <row r="98" customFormat="false" ht="15" hidden="false" customHeight="false" outlineLevel="0" collapsed="false">
      <c r="A98" s="10" t="s">
        <v>425</v>
      </c>
      <c r="B98" s="10" t="s">
        <v>285</v>
      </c>
      <c r="C98" s="10" t="s">
        <v>286</v>
      </c>
      <c r="D98" s="10" t="s">
        <v>321</v>
      </c>
      <c r="E98" s="28" t="n">
        <v>19.8</v>
      </c>
      <c r="F98" s="28" t="n">
        <v>18.4</v>
      </c>
      <c r="G98" s="28" t="n">
        <v>20</v>
      </c>
      <c r="H98" s="28" t="n">
        <v>19.7</v>
      </c>
      <c r="I98" s="28" t="n">
        <v>18</v>
      </c>
      <c r="J98" s="28" t="n">
        <v>18</v>
      </c>
      <c r="K98" s="28" t="n">
        <f aca="false">SUM(E98:J98)</f>
        <v>113.9</v>
      </c>
      <c r="L98" s="10" t="s">
        <v>328</v>
      </c>
    </row>
    <row r="99" customFormat="false" ht="15" hidden="false" customHeight="false" outlineLevel="0" collapsed="false">
      <c r="A99" s="10" t="s">
        <v>426</v>
      </c>
      <c r="B99" s="10" t="s">
        <v>285</v>
      </c>
      <c r="C99" s="10" t="s">
        <v>286</v>
      </c>
      <c r="D99" s="10" t="s">
        <v>324</v>
      </c>
      <c r="E99" s="28" t="n">
        <v>19.4</v>
      </c>
      <c r="F99" s="28" t="n">
        <v>17.4</v>
      </c>
      <c r="G99" s="28" t="n">
        <v>19.9</v>
      </c>
      <c r="H99" s="28" t="n">
        <v>19.1</v>
      </c>
      <c r="I99" s="28" t="n">
        <v>19</v>
      </c>
      <c r="J99" s="28" t="n">
        <v>18.9</v>
      </c>
      <c r="K99" s="28" t="n">
        <f aca="false">SUM(E99:J99)</f>
        <v>113.7</v>
      </c>
      <c r="L99" s="10" t="s">
        <v>328</v>
      </c>
    </row>
    <row r="100" customFormat="false" ht="15" hidden="false" customHeight="false" outlineLevel="0" collapsed="false">
      <c r="A100" s="10" t="s">
        <v>427</v>
      </c>
      <c r="B100" s="10" t="s">
        <v>285</v>
      </c>
      <c r="C100" s="10" t="s">
        <v>286</v>
      </c>
      <c r="D100" s="10" t="s">
        <v>327</v>
      </c>
      <c r="E100" s="28" t="n">
        <v>18.1</v>
      </c>
      <c r="F100" s="28" t="n">
        <v>15.7</v>
      </c>
      <c r="G100" s="28" t="n">
        <v>18.1</v>
      </c>
      <c r="H100" s="28" t="n">
        <v>18.2</v>
      </c>
      <c r="I100" s="28" t="n">
        <v>19.1</v>
      </c>
      <c r="J100" s="28" t="n">
        <v>18.4</v>
      </c>
      <c r="K100" s="28" t="n">
        <f aca="false">SUM(E100:J100)</f>
        <v>107.6</v>
      </c>
      <c r="L100" s="10" t="s">
        <v>322</v>
      </c>
    </row>
    <row r="101" customFormat="false" ht="15" hidden="false" customHeight="false" outlineLevel="0" collapsed="false">
      <c r="A101" s="10" t="s">
        <v>428</v>
      </c>
      <c r="B101" s="10" t="s">
        <v>288</v>
      </c>
      <c r="C101" s="10" t="s">
        <v>289</v>
      </c>
      <c r="D101" s="10" t="s">
        <v>321</v>
      </c>
      <c r="E101" s="28" t="n">
        <v>20</v>
      </c>
      <c r="F101" s="28" t="n">
        <v>20</v>
      </c>
      <c r="G101" s="28" t="n">
        <v>19.1</v>
      </c>
      <c r="H101" s="28" t="n">
        <v>17.7</v>
      </c>
      <c r="I101" s="28" t="n">
        <v>19.3</v>
      </c>
      <c r="J101" s="28" t="n">
        <v>19</v>
      </c>
      <c r="K101" s="28" t="n">
        <f aca="false">SUM(E101:J101)</f>
        <v>115.1</v>
      </c>
      <c r="L101" s="10" t="s">
        <v>332</v>
      </c>
    </row>
    <row r="102" customFormat="false" ht="15" hidden="false" customHeight="false" outlineLevel="0" collapsed="false">
      <c r="A102" s="10" t="s">
        <v>429</v>
      </c>
      <c r="B102" s="10" t="s">
        <v>288</v>
      </c>
      <c r="C102" s="10" t="s">
        <v>289</v>
      </c>
      <c r="D102" s="10" t="s">
        <v>324</v>
      </c>
      <c r="E102" s="28" t="n">
        <v>19.1</v>
      </c>
      <c r="F102" s="28" t="n">
        <v>18</v>
      </c>
      <c r="G102" s="28" t="n">
        <v>18.9</v>
      </c>
      <c r="H102" s="28" t="n">
        <v>18.1</v>
      </c>
      <c r="I102" s="28" t="n">
        <v>19.8</v>
      </c>
      <c r="J102" s="28" t="n">
        <v>18.9</v>
      </c>
      <c r="K102" s="28" t="n">
        <f aca="false">SUM(E102:J102)</f>
        <v>112.8</v>
      </c>
      <c r="L102" s="10" t="s">
        <v>328</v>
      </c>
    </row>
    <row r="103" customFormat="false" ht="15" hidden="false" customHeight="false" outlineLevel="0" collapsed="false">
      <c r="A103" s="10" t="s">
        <v>430</v>
      </c>
      <c r="B103" s="10" t="s">
        <v>288</v>
      </c>
      <c r="C103" s="10" t="s">
        <v>289</v>
      </c>
      <c r="D103" s="10" t="s">
        <v>327</v>
      </c>
      <c r="E103" s="28" t="n">
        <v>20</v>
      </c>
      <c r="F103" s="28" t="n">
        <v>20</v>
      </c>
      <c r="G103" s="28" t="n">
        <v>18</v>
      </c>
      <c r="H103" s="28" t="n">
        <v>18.3</v>
      </c>
      <c r="I103" s="28" t="n">
        <v>20</v>
      </c>
      <c r="J103" s="28" t="n">
        <v>18.8</v>
      </c>
      <c r="K103" s="28" t="n">
        <f aca="false">SUM(E103:J103)</f>
        <v>115.1</v>
      </c>
      <c r="L103" s="10" t="s">
        <v>330</v>
      </c>
    </row>
    <row r="104" customFormat="false" ht="15" hidden="false" customHeight="false" outlineLevel="0" collapsed="false">
      <c r="A104" s="10" t="s">
        <v>431</v>
      </c>
      <c r="B104" s="10" t="s">
        <v>292</v>
      </c>
      <c r="C104" s="10" t="s">
        <v>293</v>
      </c>
      <c r="D104" s="10" t="s">
        <v>321</v>
      </c>
      <c r="E104" s="28" t="n">
        <v>19</v>
      </c>
      <c r="F104" s="28" t="n">
        <v>18.8</v>
      </c>
      <c r="G104" s="28" t="n">
        <v>18.5</v>
      </c>
      <c r="H104" s="28" t="n">
        <v>17.5</v>
      </c>
      <c r="I104" s="28" t="n">
        <v>17.9</v>
      </c>
      <c r="J104" s="28" t="n">
        <v>18.5</v>
      </c>
      <c r="K104" s="28" t="n">
        <f aca="false">SUM(E104:J104)</f>
        <v>110.2</v>
      </c>
      <c r="L104" s="10" t="s">
        <v>325</v>
      </c>
    </row>
    <row r="105" customFormat="false" ht="15" hidden="false" customHeight="false" outlineLevel="0" collapsed="false">
      <c r="A105" s="10" t="s">
        <v>432</v>
      </c>
      <c r="B105" s="10" t="s">
        <v>292</v>
      </c>
      <c r="C105" s="10" t="s">
        <v>293</v>
      </c>
      <c r="D105" s="10" t="s">
        <v>324</v>
      </c>
      <c r="E105" s="28" t="n">
        <v>19.4</v>
      </c>
      <c r="F105" s="28" t="n">
        <v>18</v>
      </c>
      <c r="G105" s="28" t="n">
        <v>19.1</v>
      </c>
      <c r="H105" s="28" t="n">
        <v>18.5</v>
      </c>
      <c r="I105" s="28" t="n">
        <v>19</v>
      </c>
      <c r="J105" s="28" t="n">
        <v>18.5</v>
      </c>
      <c r="K105" s="28" t="n">
        <f aca="false">SUM(E105:J105)</f>
        <v>112.5</v>
      </c>
      <c r="L105" s="10" t="s">
        <v>332</v>
      </c>
    </row>
    <row r="106" customFormat="false" ht="15" hidden="false" customHeight="false" outlineLevel="0" collapsed="false">
      <c r="A106" s="10" t="s">
        <v>433</v>
      </c>
      <c r="B106" s="10" t="s">
        <v>292</v>
      </c>
      <c r="C106" s="10" t="s">
        <v>293</v>
      </c>
      <c r="D106" s="10" t="s">
        <v>327</v>
      </c>
      <c r="E106" s="28" t="n">
        <v>18.9</v>
      </c>
      <c r="F106" s="28" t="n">
        <v>19</v>
      </c>
      <c r="G106" s="28" t="n">
        <v>18.3</v>
      </c>
      <c r="H106" s="28" t="n">
        <v>18.5</v>
      </c>
      <c r="I106" s="28" t="n">
        <v>19.3</v>
      </c>
      <c r="J106" s="28" t="n">
        <v>17.5</v>
      </c>
      <c r="K106" s="28" t="n">
        <f aca="false">SUM(E106:J106)</f>
        <v>111.5</v>
      </c>
      <c r="L106" s="10" t="s">
        <v>328</v>
      </c>
    </row>
    <row r="107" customFormat="false" ht="15" hidden="false" customHeight="false" outlineLevel="0" collapsed="false">
      <c r="A107" s="10" t="s">
        <v>434</v>
      </c>
      <c r="B107" s="10" t="s">
        <v>296</v>
      </c>
      <c r="C107" s="10" t="s">
        <v>297</v>
      </c>
      <c r="D107" s="10" t="s">
        <v>321</v>
      </c>
      <c r="E107" s="28" t="n">
        <v>18.6</v>
      </c>
      <c r="F107" s="28" t="n">
        <v>17.6</v>
      </c>
      <c r="G107" s="28" t="n">
        <v>18.5</v>
      </c>
      <c r="H107" s="28" t="n">
        <v>18.4</v>
      </c>
      <c r="I107" s="28" t="n">
        <v>19.1</v>
      </c>
      <c r="J107" s="28" t="n">
        <v>19.1</v>
      </c>
      <c r="K107" s="28" t="n">
        <f aca="false">SUM(E107:J107)</f>
        <v>111.3</v>
      </c>
      <c r="L107" s="10" t="s">
        <v>328</v>
      </c>
    </row>
    <row r="108" customFormat="false" ht="15" hidden="false" customHeight="false" outlineLevel="0" collapsed="false">
      <c r="A108" s="10" t="s">
        <v>435</v>
      </c>
      <c r="B108" s="10" t="s">
        <v>296</v>
      </c>
      <c r="C108" s="10" t="s">
        <v>297</v>
      </c>
      <c r="D108" s="10" t="s">
        <v>324</v>
      </c>
      <c r="E108" s="28" t="n">
        <v>19</v>
      </c>
      <c r="F108" s="28" t="n">
        <v>19.2</v>
      </c>
      <c r="G108" s="28" t="n">
        <v>16.6</v>
      </c>
      <c r="H108" s="28" t="n">
        <v>18.7</v>
      </c>
      <c r="I108" s="28" t="n">
        <v>18.1</v>
      </c>
      <c r="J108" s="28" t="n">
        <v>20</v>
      </c>
      <c r="K108" s="28" t="n">
        <f aca="false">SUM(E108:J108)</f>
        <v>111.6</v>
      </c>
      <c r="L108" s="10" t="s">
        <v>328</v>
      </c>
    </row>
    <row r="109" customFormat="false" ht="15" hidden="false" customHeight="false" outlineLevel="0" collapsed="false">
      <c r="A109" s="10" t="s">
        <v>436</v>
      </c>
      <c r="B109" s="10" t="s">
        <v>296</v>
      </c>
      <c r="C109" s="10" t="s">
        <v>297</v>
      </c>
      <c r="D109" s="10" t="s">
        <v>327</v>
      </c>
      <c r="E109" s="28" t="n">
        <v>19.1</v>
      </c>
      <c r="F109" s="28" t="n">
        <v>16.3</v>
      </c>
      <c r="G109" s="28" t="n">
        <v>17.4</v>
      </c>
      <c r="H109" s="28" t="n">
        <v>16.9</v>
      </c>
      <c r="I109" s="28" t="n">
        <v>19.8</v>
      </c>
      <c r="J109" s="28" t="n">
        <v>20</v>
      </c>
      <c r="K109" s="28" t="n">
        <f aca="false">SUM(E109:J109)</f>
        <v>109.5</v>
      </c>
      <c r="L109" s="10" t="s">
        <v>332</v>
      </c>
    </row>
    <row r="110" customFormat="false" ht="15" hidden="false" customHeight="false" outlineLevel="0" collapsed="false">
      <c r="A110" s="10" t="s">
        <v>437</v>
      </c>
      <c r="B110" s="10" t="s">
        <v>300</v>
      </c>
      <c r="C110" s="10" t="s">
        <v>301</v>
      </c>
      <c r="D110" s="10" t="s">
        <v>321</v>
      </c>
      <c r="E110" s="28" t="n">
        <v>17.6</v>
      </c>
      <c r="F110" s="28" t="n">
        <v>18.9</v>
      </c>
      <c r="G110" s="28" t="n">
        <v>20</v>
      </c>
      <c r="H110" s="28" t="n">
        <v>18.3</v>
      </c>
      <c r="I110" s="28" t="n">
        <v>15.6</v>
      </c>
      <c r="J110" s="28" t="n">
        <v>18.2</v>
      </c>
      <c r="K110" s="28" t="n">
        <f aca="false">SUM(E110:J110)</f>
        <v>108.6</v>
      </c>
      <c r="L110" s="10" t="s">
        <v>328</v>
      </c>
    </row>
    <row r="111" customFormat="false" ht="15" hidden="false" customHeight="false" outlineLevel="0" collapsed="false">
      <c r="A111" s="10" t="s">
        <v>438</v>
      </c>
      <c r="B111" s="10" t="s">
        <v>300</v>
      </c>
      <c r="C111" s="10" t="s">
        <v>301</v>
      </c>
      <c r="D111" s="10" t="s">
        <v>324</v>
      </c>
      <c r="E111" s="28" t="n">
        <v>18</v>
      </c>
      <c r="F111" s="28" t="n">
        <v>18.5</v>
      </c>
      <c r="G111" s="28" t="n">
        <v>17.4</v>
      </c>
      <c r="H111" s="28" t="n">
        <v>19.1</v>
      </c>
      <c r="I111" s="28" t="n">
        <v>19</v>
      </c>
      <c r="J111" s="28" t="n">
        <v>16.8</v>
      </c>
      <c r="K111" s="28" t="n">
        <f aca="false">SUM(E111:J111)</f>
        <v>108.8</v>
      </c>
      <c r="L111" s="10" t="s">
        <v>340</v>
      </c>
    </row>
    <row r="112" customFormat="false" ht="15" hidden="false" customHeight="false" outlineLevel="0" collapsed="false">
      <c r="A112" s="10" t="s">
        <v>439</v>
      </c>
      <c r="B112" s="10" t="s">
        <v>300</v>
      </c>
      <c r="C112" s="10" t="s">
        <v>301</v>
      </c>
      <c r="D112" s="10" t="s">
        <v>327</v>
      </c>
      <c r="E112" s="28" t="n">
        <v>16.2</v>
      </c>
      <c r="F112" s="28" t="n">
        <v>18.1</v>
      </c>
      <c r="G112" s="28" t="n">
        <v>15.6</v>
      </c>
      <c r="H112" s="28" t="n">
        <v>18.5</v>
      </c>
      <c r="I112" s="28" t="n">
        <v>17.7</v>
      </c>
      <c r="J112" s="28" t="n">
        <v>16.2</v>
      </c>
      <c r="K112" s="28" t="n">
        <f aca="false">SUM(E112:J112)</f>
        <v>102.3</v>
      </c>
      <c r="L112" s="10" t="s">
        <v>340</v>
      </c>
    </row>
    <row r="113" customFormat="false" ht="15" hidden="false" customHeight="false" outlineLevel="0" collapsed="false">
      <c r="A113" s="10" t="s">
        <v>440</v>
      </c>
      <c r="B113" s="10" t="s">
        <v>304</v>
      </c>
      <c r="C113" s="10" t="s">
        <v>305</v>
      </c>
      <c r="D113" s="10" t="s">
        <v>321</v>
      </c>
      <c r="E113" s="28" t="n">
        <v>19</v>
      </c>
      <c r="F113" s="28" t="n">
        <v>19.1</v>
      </c>
      <c r="G113" s="28" t="n">
        <v>17.8</v>
      </c>
      <c r="H113" s="28" t="n">
        <v>19.1</v>
      </c>
      <c r="I113" s="28" t="n">
        <v>19.2</v>
      </c>
      <c r="J113" s="28" t="n">
        <v>17</v>
      </c>
      <c r="K113" s="28" t="n">
        <f aca="false">SUM(E113:J113)</f>
        <v>111.2</v>
      </c>
      <c r="L113" s="10" t="s">
        <v>330</v>
      </c>
    </row>
    <row r="114" customFormat="false" ht="15" hidden="false" customHeight="false" outlineLevel="0" collapsed="false">
      <c r="A114" s="10" t="s">
        <v>441</v>
      </c>
      <c r="B114" s="10" t="s">
        <v>304</v>
      </c>
      <c r="C114" s="10" t="s">
        <v>305</v>
      </c>
      <c r="D114" s="10" t="s">
        <v>324</v>
      </c>
      <c r="E114" s="28" t="n">
        <v>16.9</v>
      </c>
      <c r="F114" s="28" t="n">
        <v>20</v>
      </c>
      <c r="G114" s="28" t="n">
        <v>17.9</v>
      </c>
      <c r="H114" s="28" t="n">
        <v>17.2</v>
      </c>
      <c r="I114" s="28" t="n">
        <v>18.7</v>
      </c>
      <c r="J114" s="28" t="n">
        <v>18.4</v>
      </c>
      <c r="K114" s="28" t="n">
        <f aca="false">SUM(E114:J114)</f>
        <v>109.1</v>
      </c>
      <c r="L114" s="10" t="s">
        <v>332</v>
      </c>
    </row>
    <row r="115" customFormat="false" ht="15" hidden="false" customHeight="false" outlineLevel="0" collapsed="false">
      <c r="A115" s="10" t="s">
        <v>442</v>
      </c>
      <c r="B115" s="10" t="s">
        <v>304</v>
      </c>
      <c r="C115" s="10" t="s">
        <v>305</v>
      </c>
      <c r="D115" s="10" t="s">
        <v>327</v>
      </c>
      <c r="E115" s="28" t="n">
        <v>19.5</v>
      </c>
      <c r="F115" s="28" t="n">
        <v>20</v>
      </c>
      <c r="G115" s="28" t="n">
        <v>17.3</v>
      </c>
      <c r="H115" s="28" t="n">
        <v>18.8</v>
      </c>
      <c r="I115" s="28" t="n">
        <v>17.1</v>
      </c>
      <c r="J115" s="28" t="n">
        <v>17.4</v>
      </c>
      <c r="K115" s="28" t="n">
        <f aca="false">SUM(E115:J115)</f>
        <v>110.1</v>
      </c>
      <c r="L115" s="10" t="s">
        <v>322</v>
      </c>
    </row>
    <row r="116" customFormat="false" ht="15" hidden="false" customHeight="false" outlineLevel="0" collapsed="false">
      <c r="A116" s="10" t="s">
        <v>443</v>
      </c>
      <c r="B116" s="10" t="s">
        <v>308</v>
      </c>
      <c r="C116" s="10" t="s">
        <v>309</v>
      </c>
      <c r="D116" s="10" t="s">
        <v>321</v>
      </c>
      <c r="E116" s="28" t="n">
        <v>18.8</v>
      </c>
      <c r="F116" s="28" t="n">
        <v>20</v>
      </c>
      <c r="G116" s="28" t="n">
        <v>18.1</v>
      </c>
      <c r="H116" s="28" t="n">
        <v>19.9</v>
      </c>
      <c r="I116" s="28" t="n">
        <v>20</v>
      </c>
      <c r="J116" s="28" t="n">
        <v>19</v>
      </c>
      <c r="K116" s="28" t="n">
        <f aca="false">SUM(E116:J116)</f>
        <v>115.8</v>
      </c>
      <c r="L116" s="10" t="s">
        <v>325</v>
      </c>
    </row>
    <row r="117" customFormat="false" ht="15" hidden="false" customHeight="false" outlineLevel="0" collapsed="false">
      <c r="A117" s="10" t="s">
        <v>444</v>
      </c>
      <c r="B117" s="10" t="s">
        <v>308</v>
      </c>
      <c r="C117" s="10" t="s">
        <v>309</v>
      </c>
      <c r="D117" s="10" t="s">
        <v>324</v>
      </c>
      <c r="E117" s="28" t="n">
        <v>20</v>
      </c>
      <c r="F117" s="28" t="n">
        <v>17.5</v>
      </c>
      <c r="G117" s="28" t="n">
        <v>18.3</v>
      </c>
      <c r="H117" s="28" t="n">
        <v>18</v>
      </c>
      <c r="I117" s="28" t="n">
        <v>17.9</v>
      </c>
      <c r="J117" s="28" t="n">
        <v>16.7</v>
      </c>
      <c r="K117" s="28" t="n">
        <f aca="false">SUM(E117:J117)</f>
        <v>108.4</v>
      </c>
      <c r="L117" s="10" t="s">
        <v>322</v>
      </c>
    </row>
    <row r="118" customFormat="false" ht="15" hidden="false" customHeight="false" outlineLevel="0" collapsed="false">
      <c r="A118" s="10" t="s">
        <v>445</v>
      </c>
      <c r="B118" s="10" t="s">
        <v>308</v>
      </c>
      <c r="C118" s="10" t="s">
        <v>309</v>
      </c>
      <c r="D118" s="10" t="s">
        <v>327</v>
      </c>
      <c r="E118" s="28" t="n">
        <v>17.6</v>
      </c>
      <c r="F118" s="28" t="n">
        <v>17.7</v>
      </c>
      <c r="G118" s="28" t="n">
        <v>18.3</v>
      </c>
      <c r="H118" s="28" t="n">
        <v>18</v>
      </c>
      <c r="I118" s="28" t="n">
        <v>18.3</v>
      </c>
      <c r="J118" s="28" t="n">
        <v>17.8</v>
      </c>
      <c r="K118" s="28" t="n">
        <f aca="false">SUM(E118:J118)</f>
        <v>107.7</v>
      </c>
      <c r="L118" s="10" t="s">
        <v>332</v>
      </c>
    </row>
    <row r="119" customFormat="false" ht="15" hidden="false" customHeight="false" outlineLevel="0" collapsed="false">
      <c r="A119" s="10" t="s">
        <v>446</v>
      </c>
      <c r="B119" s="10" t="s">
        <v>312</v>
      </c>
      <c r="C119" s="10" t="s">
        <v>313</v>
      </c>
      <c r="D119" s="10" t="s">
        <v>321</v>
      </c>
      <c r="E119" s="28" t="n">
        <v>20</v>
      </c>
      <c r="F119" s="28" t="n">
        <v>20</v>
      </c>
      <c r="G119" s="28" t="n">
        <v>20</v>
      </c>
      <c r="H119" s="28" t="n">
        <v>19.2</v>
      </c>
      <c r="I119" s="28" t="n">
        <v>19.9</v>
      </c>
      <c r="J119" s="28" t="n">
        <v>19.3</v>
      </c>
      <c r="K119" s="28" t="n">
        <f aca="false">SUM(E119:J119)</f>
        <v>118.4</v>
      </c>
      <c r="L119" s="10" t="s">
        <v>340</v>
      </c>
    </row>
    <row r="120" customFormat="false" ht="15" hidden="false" customHeight="false" outlineLevel="0" collapsed="false">
      <c r="A120" s="10" t="s">
        <v>447</v>
      </c>
      <c r="B120" s="10" t="s">
        <v>312</v>
      </c>
      <c r="C120" s="10" t="s">
        <v>313</v>
      </c>
      <c r="D120" s="10" t="s">
        <v>324</v>
      </c>
      <c r="E120" s="28" t="n">
        <v>18.3</v>
      </c>
      <c r="F120" s="28" t="n">
        <v>19.1</v>
      </c>
      <c r="G120" s="28" t="n">
        <v>19.4</v>
      </c>
      <c r="H120" s="28" t="n">
        <v>19.7</v>
      </c>
      <c r="I120" s="28" t="n">
        <v>18.6</v>
      </c>
      <c r="J120" s="28" t="n">
        <v>18.2</v>
      </c>
      <c r="K120" s="28" t="n">
        <f aca="false">SUM(E120:J120)</f>
        <v>113.3</v>
      </c>
      <c r="L120" s="10" t="s">
        <v>325</v>
      </c>
    </row>
    <row r="121" customFormat="false" ht="15" hidden="false" customHeight="false" outlineLevel="0" collapsed="false">
      <c r="A121" s="10" t="s">
        <v>448</v>
      </c>
      <c r="B121" s="10" t="s">
        <v>312</v>
      </c>
      <c r="C121" s="10" t="s">
        <v>313</v>
      </c>
      <c r="D121" s="10" t="s">
        <v>327</v>
      </c>
      <c r="E121" s="28" t="n">
        <v>18.8</v>
      </c>
      <c r="F121" s="28" t="n">
        <v>16.8</v>
      </c>
      <c r="G121" s="28" t="n">
        <v>17.5</v>
      </c>
      <c r="H121" s="28" t="n">
        <v>18.2</v>
      </c>
      <c r="I121" s="28" t="n">
        <v>20</v>
      </c>
      <c r="J121" s="28" t="n">
        <v>18.8</v>
      </c>
      <c r="K121" s="28" t="n">
        <f aca="false">SUM(E121:J121)</f>
        <v>110.1</v>
      </c>
      <c r="L121" s="10" t="s">
        <v>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J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"/>
    <col collapsed="false" customWidth="true" hidden="false" outlineLevel="0" max="3" min="3" style="0" width="24"/>
    <col collapsed="false" customWidth="true" hidden="false" outlineLevel="0" max="5" min="4" style="0" width="13"/>
    <col collapsed="false" customWidth="true" hidden="false" outlineLevel="0" max="6" min="6" style="0" width="15"/>
    <col collapsed="false" customWidth="true" hidden="false" outlineLevel="0" max="7" min="7" style="0" width="50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16"/>
  </cols>
  <sheetData>
    <row r="1" customFormat="false" ht="35.05" hidden="false" customHeight="false" outlineLevel="0" collapsed="false">
      <c r="A1" s="9" t="s">
        <v>449</v>
      </c>
      <c r="B1" s="9" t="s">
        <v>450</v>
      </c>
      <c r="C1" s="9" t="s">
        <v>451</v>
      </c>
      <c r="D1" s="9" t="s">
        <v>452</v>
      </c>
      <c r="E1" s="9" t="s">
        <v>453</v>
      </c>
      <c r="F1" s="9" t="s">
        <v>454</v>
      </c>
      <c r="G1" s="9" t="s">
        <v>102</v>
      </c>
      <c r="H1" s="9" t="s">
        <v>455</v>
      </c>
      <c r="I1" s="9" t="s">
        <v>456</v>
      </c>
      <c r="J1" s="9" t="s">
        <v>457</v>
      </c>
    </row>
    <row r="2" customFormat="false" ht="15" hidden="false" customHeight="false" outlineLevel="0" collapsed="false">
      <c r="A2" s="10" t="s">
        <v>111</v>
      </c>
      <c r="B2" s="10" t="s">
        <v>12</v>
      </c>
      <c r="C2" s="10" t="s">
        <v>114</v>
      </c>
      <c r="D2" s="28" t="n">
        <v>112.7</v>
      </c>
      <c r="E2" s="10" t="s">
        <v>458</v>
      </c>
      <c r="F2" s="10" t="s">
        <v>459</v>
      </c>
      <c r="G2" s="10" t="s">
        <v>460</v>
      </c>
      <c r="H2" s="10" t="n">
        <f aca="false">IF(B2="Sire",COUNTIF(Horse_Summary!$C$2:$C$41,A2),COUNTIF(Horse_Summary!$D$2:$D$41,A2))</f>
        <v>10</v>
      </c>
      <c r="I2" s="11" t="n">
        <f aca="false">IFERROR(IF(B2="Sire",AVERAGEIF(Horse_Summary!$C$2:$C$41,A2,Horse_Summary!$O$2:$O$41),AVERAGEIF(Horse_Summary!$D$2:$D$41,A2,Horse_Summary!$O$2:$O$41)),"")</f>
        <v>112.306666666667</v>
      </c>
      <c r="J2" s="20" t="n">
        <f aca="false">IFERROR(I2-D2,"")</f>
        <v>-0.393333333333345</v>
      </c>
    </row>
    <row r="3" customFormat="false" ht="15" hidden="false" customHeight="false" outlineLevel="0" collapsed="false">
      <c r="A3" s="10" t="s">
        <v>135</v>
      </c>
      <c r="B3" s="10" t="s">
        <v>12</v>
      </c>
      <c r="C3" s="10" t="s">
        <v>138</v>
      </c>
      <c r="D3" s="28" t="n">
        <v>112.9</v>
      </c>
      <c r="E3" s="10" t="s">
        <v>459</v>
      </c>
      <c r="F3" s="10" t="s">
        <v>461</v>
      </c>
      <c r="G3" s="10" t="s">
        <v>460</v>
      </c>
      <c r="H3" s="10" t="n">
        <f aca="false">IF(B3="Sire",COUNTIF(Horse_Summary!$C$2:$C$41,A3),COUNTIF(Horse_Summary!$D$2:$D$41,A3))</f>
        <v>8</v>
      </c>
      <c r="I3" s="11" t="n">
        <f aca="false">IFERROR(IF(B3="Sire",AVERAGEIF(Horse_Summary!$C$2:$C$41,A3,Horse_Summary!$O$2:$O$41),AVERAGEIF(Horse_Summary!$D$2:$D$41,A3,Horse_Summary!$O$2:$O$41)),"")</f>
        <v>108.954166666667</v>
      </c>
      <c r="J3" s="20" t="n">
        <f aca="false">IFERROR(I3-D3,"")</f>
        <v>-3.94583333333334</v>
      </c>
    </row>
    <row r="4" customFormat="false" ht="15" hidden="false" customHeight="false" outlineLevel="0" collapsed="false">
      <c r="A4" s="10" t="s">
        <v>157</v>
      </c>
      <c r="B4" s="10" t="s">
        <v>12</v>
      </c>
      <c r="C4" s="10" t="s">
        <v>159</v>
      </c>
      <c r="D4" s="28" t="n">
        <v>111.7</v>
      </c>
      <c r="E4" s="10" t="s">
        <v>461</v>
      </c>
      <c r="F4" s="10" t="s">
        <v>461</v>
      </c>
      <c r="G4" s="10" t="s">
        <v>460</v>
      </c>
      <c r="H4" s="10" t="n">
        <f aca="false">IF(B4="Sire",COUNTIF(Horse_Summary!$C$2:$C$41,A4),COUNTIF(Horse_Summary!$D$2:$D$41,A4))</f>
        <v>8</v>
      </c>
      <c r="I4" s="11" t="n">
        <f aca="false">IFERROR(IF(B4="Sire",AVERAGEIF(Horse_Summary!$C$2:$C$41,A4,Horse_Summary!$O$2:$O$41),AVERAGEIF(Horse_Summary!$D$2:$D$41,A4,Horse_Summary!$O$2:$O$41)),"")</f>
        <v>108.904166666667</v>
      </c>
      <c r="J4" s="20" t="n">
        <f aca="false">IFERROR(I4-D4,"")</f>
        <v>-2.79583333333333</v>
      </c>
    </row>
    <row r="5" customFormat="false" ht="15" hidden="false" customHeight="false" outlineLevel="0" collapsed="false">
      <c r="A5" s="10" t="s">
        <v>171</v>
      </c>
      <c r="B5" s="10" t="s">
        <v>12</v>
      </c>
      <c r="C5" s="10" t="s">
        <v>174</v>
      </c>
      <c r="D5" s="28" t="n">
        <v>111.3</v>
      </c>
      <c r="E5" s="10" t="s">
        <v>461</v>
      </c>
      <c r="F5" s="10" t="s">
        <v>459</v>
      </c>
      <c r="G5" s="10" t="s">
        <v>460</v>
      </c>
      <c r="H5" s="10" t="n">
        <f aca="false">IF(B5="Sire",COUNTIF(Horse_Summary!$C$2:$C$41,A5),COUNTIF(Horse_Summary!$D$2:$D$41,A5))</f>
        <v>7</v>
      </c>
      <c r="I5" s="11" t="n">
        <f aca="false">IFERROR(IF(B5="Sire",AVERAGEIF(Horse_Summary!$C$2:$C$41,A5,Horse_Summary!$O$2:$O$41),AVERAGEIF(Horse_Summary!$D$2:$D$41,A5,Horse_Summary!$O$2:$O$41)),"")</f>
        <v>106.104761904762</v>
      </c>
      <c r="J5" s="20" t="n">
        <f aca="false">IFERROR(I5-D5,"")</f>
        <v>-5.1952380952381</v>
      </c>
    </row>
    <row r="6" customFormat="false" ht="15" hidden="false" customHeight="false" outlineLevel="0" collapsed="false">
      <c r="A6" s="10" t="s">
        <v>147</v>
      </c>
      <c r="B6" s="10" t="s">
        <v>12</v>
      </c>
      <c r="C6" s="10" t="s">
        <v>150</v>
      </c>
      <c r="D6" s="28" t="n">
        <v>112.8</v>
      </c>
      <c r="E6" s="10" t="s">
        <v>458</v>
      </c>
      <c r="F6" s="10" t="s">
        <v>458</v>
      </c>
      <c r="G6" s="10" t="s">
        <v>460</v>
      </c>
      <c r="H6" s="10" t="n">
        <f aca="false">IF(B6="Sire",COUNTIF(Horse_Summary!$C$2:$C$41,A6),COUNTIF(Horse_Summary!$D$2:$D$41,A6))</f>
        <v>7</v>
      </c>
      <c r="I6" s="11" t="n">
        <f aca="false">IFERROR(IF(B6="Sire",AVERAGEIF(Horse_Summary!$C$2:$C$41,A6,Horse_Summary!$O$2:$O$41),AVERAGEIF(Horse_Summary!$D$2:$D$41,A6,Horse_Summary!$O$2:$O$41)),"")</f>
        <v>112.147619047619</v>
      </c>
      <c r="J6" s="20" t="n">
        <f aca="false">IFERROR(I6-D6,"")</f>
        <v>-0.652380952380952</v>
      </c>
    </row>
    <row r="7" customFormat="false" ht="15" hidden="false" customHeight="false" outlineLevel="0" collapsed="false">
      <c r="A7" s="10" t="s">
        <v>190</v>
      </c>
      <c r="B7" s="10" t="s">
        <v>462</v>
      </c>
      <c r="C7" s="10" t="s">
        <v>139</v>
      </c>
      <c r="D7" s="28" t="n">
        <v>109.7</v>
      </c>
      <c r="E7" s="10" t="s">
        <v>458</v>
      </c>
      <c r="F7" s="10" t="s">
        <v>459</v>
      </c>
      <c r="G7" s="10" t="s">
        <v>463</v>
      </c>
      <c r="H7" s="10" t="n">
        <f aca="false">IF(B7="Sire",COUNTIF(Horse_Summary!$C$2:$C$41,A7),COUNTIF(Horse_Summary!$D$2:$D$41,A7))</f>
        <v>4</v>
      </c>
      <c r="I7" s="11" t="n">
        <f aca="false">IFERROR(IF(B7="Sire",AVERAGEIF(Horse_Summary!$C$2:$C$41,A7,Horse_Summary!$O$2:$O$41),AVERAGEIF(Horse_Summary!$D$2:$D$41,A7,Horse_Summary!$O$2:$O$41)),"")</f>
        <v>108.7</v>
      </c>
      <c r="J7" s="20" t="n">
        <f aca="false">IFERROR(I7-D7,"")</f>
        <v>-1.00000000000001</v>
      </c>
    </row>
    <row r="8" customFormat="false" ht="15" hidden="false" customHeight="false" outlineLevel="0" collapsed="false">
      <c r="A8" s="10" t="s">
        <v>149</v>
      </c>
      <c r="B8" s="10" t="s">
        <v>462</v>
      </c>
      <c r="C8" s="10" t="s">
        <v>139</v>
      </c>
      <c r="D8" s="28" t="n">
        <v>111.5</v>
      </c>
      <c r="E8" s="10" t="s">
        <v>461</v>
      </c>
      <c r="F8" s="10" t="s">
        <v>461</v>
      </c>
      <c r="G8" s="10" t="s">
        <v>463</v>
      </c>
      <c r="H8" s="10" t="n">
        <f aca="false">IF(B8="Sire",COUNTIF(Horse_Summary!$C$2:$C$41,A8),COUNTIF(Horse_Summary!$D$2:$D$41,A8))</f>
        <v>4</v>
      </c>
      <c r="I8" s="11" t="n">
        <f aca="false">IFERROR(IF(B8="Sire",AVERAGEIF(Horse_Summary!$C$2:$C$41,A8,Horse_Summary!$O$2:$O$41),AVERAGEIF(Horse_Summary!$D$2:$D$41,A8,Horse_Summary!$O$2:$O$41)),"")</f>
        <v>111.791666666667</v>
      </c>
      <c r="J8" s="20" t="n">
        <f aca="false">IFERROR(I8-D8,"")</f>
        <v>0.291666666666657</v>
      </c>
    </row>
    <row r="9" customFormat="false" ht="15" hidden="false" customHeight="false" outlineLevel="0" collapsed="false">
      <c r="A9" s="10" t="s">
        <v>137</v>
      </c>
      <c r="B9" s="10" t="s">
        <v>462</v>
      </c>
      <c r="C9" s="10" t="s">
        <v>464</v>
      </c>
      <c r="D9" s="28" t="n">
        <v>106.8</v>
      </c>
      <c r="E9" s="10" t="s">
        <v>459</v>
      </c>
      <c r="F9" s="10" t="s">
        <v>461</v>
      </c>
      <c r="G9" s="10" t="s">
        <v>463</v>
      </c>
      <c r="H9" s="10" t="n">
        <f aca="false">IF(B9="Sire",COUNTIF(Horse_Summary!$C$2:$C$41,A9),COUNTIF(Horse_Summary!$D$2:$D$41,A9))</f>
        <v>1</v>
      </c>
      <c r="I9" s="11" t="n">
        <f aca="false">IFERROR(IF(B9="Sire",AVERAGEIF(Horse_Summary!$C$2:$C$41,A9,Horse_Summary!$O$2:$O$41),AVERAGEIF(Horse_Summary!$D$2:$D$41,A9,Horse_Summary!$O$2:$O$41)),"")</f>
        <v>107.733333333333</v>
      </c>
      <c r="J9" s="20" t="n">
        <f aca="false">IFERROR(I9-D9,"")</f>
        <v>0.933333333333337</v>
      </c>
    </row>
    <row r="10" customFormat="false" ht="15" hidden="false" customHeight="false" outlineLevel="0" collapsed="false">
      <c r="A10" s="10" t="s">
        <v>113</v>
      </c>
      <c r="B10" s="10" t="s">
        <v>462</v>
      </c>
      <c r="C10" s="10" t="s">
        <v>139</v>
      </c>
      <c r="D10" s="28" t="n">
        <v>106.5</v>
      </c>
      <c r="E10" s="10" t="s">
        <v>461</v>
      </c>
      <c r="F10" s="10" t="s">
        <v>461</v>
      </c>
      <c r="G10" s="10" t="s">
        <v>463</v>
      </c>
      <c r="H10" s="10" t="n">
        <f aca="false">IF(B10="Sire",COUNTIF(Horse_Summary!$C$2:$C$41,A10),COUNTIF(Horse_Summary!$D$2:$D$41,A10))</f>
        <v>8</v>
      </c>
      <c r="I10" s="11" t="n">
        <f aca="false">IFERROR(IF(B10="Sire",AVERAGEIF(Horse_Summary!$C$2:$C$41,A10,Horse_Summary!$O$2:$O$41),AVERAGEIF(Horse_Summary!$D$2:$D$41,A10,Horse_Summary!$O$2:$O$41)),"")</f>
        <v>109.616666666667</v>
      </c>
      <c r="J10" s="20" t="n">
        <f aca="false">IFERROR(I10-D10,"")</f>
        <v>3.11666666666667</v>
      </c>
    </row>
    <row r="11" customFormat="false" ht="15" hidden="false" customHeight="false" outlineLevel="0" collapsed="false">
      <c r="A11" s="10" t="s">
        <v>166</v>
      </c>
      <c r="B11" s="10" t="s">
        <v>462</v>
      </c>
      <c r="C11" s="10" t="s">
        <v>265</v>
      </c>
      <c r="D11" s="28" t="n">
        <v>107.6</v>
      </c>
      <c r="E11" s="10" t="s">
        <v>459</v>
      </c>
      <c r="F11" s="10" t="s">
        <v>459</v>
      </c>
      <c r="G11" s="10" t="s">
        <v>463</v>
      </c>
      <c r="H11" s="10" t="n">
        <f aca="false">IF(B11="Sire",COUNTIF(Horse_Summary!$C$2:$C$41,A11),COUNTIF(Horse_Summary!$D$2:$D$41,A11))</f>
        <v>6</v>
      </c>
      <c r="I11" s="11" t="n">
        <f aca="false">IFERROR(IF(B11="Sire",AVERAGEIF(Horse_Summary!$C$2:$C$41,A11,Horse_Summary!$O$2:$O$41),AVERAGEIF(Horse_Summary!$D$2:$D$41,A11,Horse_Summary!$O$2:$O$41)),"")</f>
        <v>111.372222222222</v>
      </c>
      <c r="J11" s="20" t="n">
        <f aca="false">IFERROR(I11-D11,"")</f>
        <v>3.77222222222223</v>
      </c>
    </row>
    <row r="12" customFormat="false" ht="15" hidden="false" customHeight="false" outlineLevel="0" collapsed="false">
      <c r="A12" s="10" t="s">
        <v>226</v>
      </c>
      <c r="B12" s="10" t="s">
        <v>462</v>
      </c>
      <c r="C12" s="10" t="s">
        <v>167</v>
      </c>
      <c r="D12" s="28" t="n">
        <v>106.5</v>
      </c>
      <c r="E12" s="10" t="s">
        <v>459</v>
      </c>
      <c r="F12" s="10" t="s">
        <v>461</v>
      </c>
      <c r="G12" s="10" t="s">
        <v>463</v>
      </c>
      <c r="H12" s="10" t="n">
        <f aca="false">IF(B12="Sire",COUNTIF(Horse_Summary!$C$2:$C$41,A12),COUNTIF(Horse_Summary!$D$2:$D$41,A12))</f>
        <v>4</v>
      </c>
      <c r="I12" s="11" t="n">
        <f aca="false">IFERROR(IF(B12="Sire",AVERAGEIF(Horse_Summary!$C$2:$C$41,A12,Horse_Summary!$O$2:$O$41),AVERAGEIF(Horse_Summary!$D$2:$D$41,A12,Horse_Summary!$O$2:$O$41)),"")</f>
        <v>110.25</v>
      </c>
      <c r="J12" s="20" t="n">
        <f aca="false">IFERROR(I12-D12,"")</f>
        <v>3.75</v>
      </c>
    </row>
    <row r="13" customFormat="false" ht="15" hidden="false" customHeight="false" outlineLevel="0" collapsed="false">
      <c r="A13" s="10" t="s">
        <v>126</v>
      </c>
      <c r="B13" s="10" t="s">
        <v>462</v>
      </c>
      <c r="C13" s="10" t="s">
        <v>465</v>
      </c>
      <c r="D13" s="28" t="n">
        <v>107.2</v>
      </c>
      <c r="E13" s="10" t="s">
        <v>459</v>
      </c>
      <c r="F13" s="10" t="s">
        <v>461</v>
      </c>
      <c r="G13" s="10" t="s">
        <v>463</v>
      </c>
      <c r="H13" s="10" t="n">
        <f aca="false">IF(B13="Sire",COUNTIF(Horse_Summary!$C$2:$C$41,A13),COUNTIF(Horse_Summary!$D$2:$D$41,A13))</f>
        <v>2</v>
      </c>
      <c r="I13" s="11" t="n">
        <f aca="false">IFERROR(IF(B13="Sire",AVERAGEIF(Horse_Summary!$C$2:$C$41,A13,Horse_Summary!$O$2:$O$41),AVERAGEIF(Horse_Summary!$D$2:$D$41,A13,Horse_Summary!$O$2:$O$41)),"")</f>
        <v>111.05</v>
      </c>
      <c r="J13" s="20" t="n">
        <f aca="false">IFERROR(I13-D13,"")</f>
        <v>3.85000000000001</v>
      </c>
    </row>
    <row r="14" customFormat="false" ht="15" hidden="false" customHeight="false" outlineLevel="0" collapsed="false">
      <c r="A14" s="10" t="s">
        <v>195</v>
      </c>
      <c r="B14" s="10" t="s">
        <v>462</v>
      </c>
      <c r="C14" s="10" t="s">
        <v>139</v>
      </c>
      <c r="D14" s="28" t="n">
        <v>112</v>
      </c>
      <c r="E14" s="10" t="s">
        <v>458</v>
      </c>
      <c r="F14" s="10" t="s">
        <v>458</v>
      </c>
      <c r="G14" s="10" t="s">
        <v>463</v>
      </c>
      <c r="H14" s="10" t="n">
        <f aca="false">IF(B14="Sire",COUNTIF(Horse_Summary!$C$2:$C$41,A14),COUNTIF(Horse_Summary!$D$2:$D$41,A14))</f>
        <v>4</v>
      </c>
      <c r="I14" s="11" t="n">
        <f aca="false">IFERROR(IF(B14="Sire",AVERAGEIF(Horse_Summary!$C$2:$C$41,A14,Horse_Summary!$O$2:$O$41),AVERAGEIF(Horse_Summary!$D$2:$D$41,A14,Horse_Summary!$O$2:$O$41)),"")</f>
        <v>108.375</v>
      </c>
      <c r="J14" s="20" t="n">
        <f aca="false">IFERROR(I14-D14,"")</f>
        <v>-3.625</v>
      </c>
    </row>
    <row r="15" customFormat="false" ht="15" hidden="false" customHeight="false" outlineLevel="0" collapsed="false">
      <c r="A15" s="10" t="s">
        <v>184</v>
      </c>
      <c r="B15" s="10" t="s">
        <v>462</v>
      </c>
      <c r="C15" s="10" t="s">
        <v>265</v>
      </c>
      <c r="D15" s="28" t="n">
        <v>106.3</v>
      </c>
      <c r="E15" s="10" t="s">
        <v>461</v>
      </c>
      <c r="F15" s="10" t="s">
        <v>461</v>
      </c>
      <c r="G15" s="10" t="s">
        <v>463</v>
      </c>
      <c r="H15" s="10" t="n">
        <f aca="false">IF(B15="Sire",COUNTIF(Horse_Summary!$C$2:$C$41,A15),COUNTIF(Horse_Summary!$D$2:$D$41,A15))</f>
        <v>6</v>
      </c>
      <c r="I15" s="11" t="n">
        <f aca="false">IFERROR(IF(B15="Sire",AVERAGEIF(Horse_Summary!$C$2:$C$41,A15,Horse_Summary!$O$2:$O$41),AVERAGEIF(Horse_Summary!$D$2:$D$41,A15,Horse_Summary!$O$2:$O$41)),"")</f>
        <v>109.794444444444</v>
      </c>
      <c r="J15" s="20" t="n">
        <f aca="false">IFERROR(I15-D15,"")</f>
        <v>3.49444444444444</v>
      </c>
    </row>
    <row r="16" customFormat="false" ht="15" hidden="false" customHeight="false" outlineLevel="0" collapsed="false">
      <c r="A16" s="10" t="s">
        <v>173</v>
      </c>
      <c r="B16" s="10" t="s">
        <v>462</v>
      </c>
      <c r="C16" s="10" t="s">
        <v>139</v>
      </c>
      <c r="D16" s="28" t="n">
        <v>104.6</v>
      </c>
      <c r="E16" s="10" t="s">
        <v>461</v>
      </c>
      <c r="F16" s="10" t="s">
        <v>461</v>
      </c>
      <c r="G16" s="10" t="s">
        <v>463</v>
      </c>
      <c r="H16" s="10" t="n">
        <f aca="false">IF(B16="Sire",COUNTIF(Horse_Summary!$C$2:$C$41,A16),COUNTIF(Horse_Summary!$D$2:$D$41,A16))</f>
        <v>1</v>
      </c>
      <c r="I16" s="11" t="n">
        <f aca="false">IFERROR(IF(B16="Sire",AVERAGEIF(Horse_Summary!$C$2:$C$41,A16,Horse_Summary!$O$2:$O$41),AVERAGEIF(Horse_Summary!$D$2:$D$41,A16,Horse_Summary!$O$2:$O$41)),"")</f>
        <v>103.466666666667</v>
      </c>
      <c r="J16" s="20" t="n">
        <f aca="false">IFERROR(I16-D16,"")</f>
        <v>-1.13333333333334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8D6"/>
    <pageSetUpPr fitToPage="false"/>
  </sheetPr>
  <dimension ref="A1:AB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21"/>
    <col collapsed="false" customWidth="true" hidden="false" outlineLevel="0" max="4" min="4" style="0" width="17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22"/>
    <col collapsed="false" customWidth="true" hidden="false" outlineLevel="0" max="8" min="8" style="0" width="19"/>
    <col collapsed="false" customWidth="true" hidden="false" outlineLevel="0" max="16" min="9" style="0" width="11"/>
    <col collapsed="false" customWidth="true" hidden="false" outlineLevel="0" max="17" min="17" style="0" width="7"/>
    <col collapsed="false" customWidth="true" hidden="false" outlineLevel="0" max="18" min="18" style="0" width="8"/>
    <col collapsed="false" customWidth="true" hidden="false" outlineLevel="0" max="19" min="19" style="0" width="13"/>
    <col collapsed="false" customWidth="true" hidden="false" outlineLevel="0" max="21" min="20" style="0" width="14"/>
    <col collapsed="false" customWidth="true" hidden="false" outlineLevel="0" max="22" min="22" style="0" width="10"/>
    <col collapsed="false" customWidth="true" hidden="false" outlineLevel="0" max="23" min="23" style="0" width="12"/>
    <col collapsed="false" customWidth="true" hidden="false" outlineLevel="0" max="24" min="24" style="0" width="13"/>
    <col collapsed="false" customWidth="true" hidden="false" outlineLevel="0" max="25" min="25" style="0" width="12"/>
    <col collapsed="false" customWidth="true" hidden="false" outlineLevel="0" max="26" min="26" style="0" width="24"/>
    <col collapsed="false" customWidth="true" hidden="false" outlineLevel="0" max="27" min="27" style="0" width="12"/>
    <col collapsed="false" customWidth="true" hidden="false" outlineLevel="0" max="28" min="28" style="0" width="17"/>
  </cols>
  <sheetData>
    <row r="1" customFormat="false" ht="35.05" hidden="false" customHeight="false" outlineLevel="0" collapsed="false">
      <c r="A1" s="9" t="s">
        <v>90</v>
      </c>
      <c r="B1" s="9" t="s">
        <v>91</v>
      </c>
      <c r="C1" s="9" t="s">
        <v>12</v>
      </c>
      <c r="D1" s="9" t="s">
        <v>98</v>
      </c>
      <c r="E1" s="9" t="s">
        <v>13</v>
      </c>
      <c r="F1" s="9" t="s">
        <v>94</v>
      </c>
      <c r="G1" s="9" t="s">
        <v>99</v>
      </c>
      <c r="H1" s="9" t="s">
        <v>100</v>
      </c>
      <c r="I1" s="9" t="s">
        <v>32</v>
      </c>
      <c r="J1" s="9" t="s">
        <v>33</v>
      </c>
      <c r="K1" s="9" t="s">
        <v>34</v>
      </c>
      <c r="L1" s="9" t="s">
        <v>35</v>
      </c>
      <c r="M1" s="9" t="s">
        <v>36</v>
      </c>
      <c r="N1" s="9" t="s">
        <v>37</v>
      </c>
      <c r="O1" s="9" t="s">
        <v>466</v>
      </c>
      <c r="P1" s="9" t="s">
        <v>467</v>
      </c>
      <c r="Q1" s="9" t="s">
        <v>23</v>
      </c>
      <c r="R1" s="9" t="s">
        <v>468</v>
      </c>
      <c r="S1" s="9" t="s">
        <v>469</v>
      </c>
      <c r="T1" s="9" t="s">
        <v>470</v>
      </c>
      <c r="U1" s="9" t="s">
        <v>471</v>
      </c>
      <c r="V1" s="9" t="s">
        <v>472</v>
      </c>
      <c r="W1" s="9" t="s">
        <v>473</v>
      </c>
      <c r="X1" s="9" t="s">
        <v>474</v>
      </c>
      <c r="Y1" s="9" t="s">
        <v>475</v>
      </c>
      <c r="Z1" s="9" t="s">
        <v>476</v>
      </c>
      <c r="AA1" s="9" t="s">
        <v>477</v>
      </c>
      <c r="AB1" s="9" t="s">
        <v>104</v>
      </c>
    </row>
    <row r="2" customFormat="false" ht="15" hidden="false" customHeight="false" outlineLevel="0" collapsed="false">
      <c r="A2" s="10" t="s">
        <v>105</v>
      </c>
      <c r="B2" s="10" t="str">
        <f aca="false">INDEX(Horse_Profile!$B$2:$B$41,MATCH($A2,Horse_Profile!$A$2:$A$41,0))</f>
        <v>HA Amira Legacy</v>
      </c>
      <c r="C2" s="10" t="str">
        <f aca="false">INDEX(Horse_Profile!$I$2:$I$41,MATCH($A2,Horse_Profile!$A$2:$A$41,0))</f>
        <v>Pogrom</v>
      </c>
      <c r="D2" s="10" t="str">
        <f aca="false">INDEX(Horse_Profile!$K$2:$K$41,MATCH($A2,Horse_Profile!$A$2:$A$41,0))</f>
        <v>El Nabila B</v>
      </c>
      <c r="E2" s="10" t="str">
        <f aca="false">INDEX(Horse_Profile!$D$2:$D$41,MATCH($A2,Horse_Profile!$A$2:$A$41,0))</f>
        <v>Gelding</v>
      </c>
      <c r="F2" s="10" t="str">
        <f aca="false">INDEX(Horse_Profile!$F$2:$F$41,MATCH($A2,Horse_Profile!$A$2:$A$41,0))</f>
        <v>Young Horse</v>
      </c>
      <c r="G2" s="10" t="str">
        <f aca="false">INDEX(Horse_Profile!$L$2:$L$41,MATCH($A2,Horse_Profile!$A$2:$A$41,0))</f>
        <v>Polish/International</v>
      </c>
      <c r="H2" s="10" t="str">
        <f aca="false">INDEX(Horse_Profile!$M$2:$M$41,MATCH($A2,Horse_Profile!$A$2:$A$41,0))</f>
        <v>Egyptian-influenced</v>
      </c>
      <c r="I2" s="11" t="n">
        <f aca="false">AVERAGEIF(Judge_Scores!$B$2:$B$121,$A2,Judge_Scores!$E$2:$E$121)</f>
        <v>18.5333333333333</v>
      </c>
      <c r="J2" s="11" t="n">
        <f aca="false">AVERAGEIF(Judge_Scores!$B$2:$B$121,$A2,Judge_Scores!$F$2:$F$121)</f>
        <v>19.0333333333333</v>
      </c>
      <c r="K2" s="11" t="n">
        <f aca="false">AVERAGEIF(Judge_Scores!$B$2:$B$121,$A2,Judge_Scores!$G$2:$G$121)</f>
        <v>19.1</v>
      </c>
      <c r="L2" s="11" t="n">
        <f aca="false">AVERAGEIF(Judge_Scores!$B$2:$B$121,$A2,Judge_Scores!$H$2:$H$121)</f>
        <v>18.0333333333333</v>
      </c>
      <c r="M2" s="11" t="n">
        <f aca="false">AVERAGEIF(Judge_Scores!$B$2:$B$121,$A2,Judge_Scores!$I$2:$I$121)</f>
        <v>18.9333333333333</v>
      </c>
      <c r="N2" s="11" t="n">
        <f aca="false">AVERAGEIF(Judge_Scores!$B$2:$B$121,$A2,Judge_Scores!$J$2:$J$121)</f>
        <v>19.8</v>
      </c>
      <c r="O2" s="11" t="n">
        <f aca="false">AVERAGEIF(Judge_Scores!$B$2:$B$121,$A2,Judge_Scores!$K$2:$K$121)</f>
        <v>113.433333333333</v>
      </c>
      <c r="P2" s="11" t="n">
        <f aca="false">_xlfn.MAXIFS(Judge_Scores!$K$2:$K$121,Judge_Scores!$B$2:$B$121,$A2)-_xlfn.MINIFS(Judge_Scores!$K$2:$K$121,Judge_Scores!$B$2:$B$121,$A2)</f>
        <v>1.80000000000001</v>
      </c>
      <c r="Q2" s="10" t="n">
        <f aca="false">RANK(O2,$O$2:$O$41,0)</f>
        <v>4</v>
      </c>
      <c r="R2" s="10" t="n">
        <f aca="false">Q2+COUNTIF($O$2:O2,O2)-1</f>
        <v>4</v>
      </c>
      <c r="S2" s="10" t="str">
        <f aca="false">IF(O2&gt;=Settings!$B$8,"Elite",IF(O2&gt;=Settings!$B$9,"High",IF(O2&gt;=Settings!$B$10,"Developing","Needs Review")))</f>
        <v>Elite</v>
      </c>
      <c r="T2" s="10" t="str">
        <f aca="false">INDEX($I$1:$N$1,MATCH(MAX(I2:N2),I2:N2,0))</f>
        <v>Balance</v>
      </c>
      <c r="U2" s="10" t="str">
        <f aca="false">INDEX($I$1:$N$1,MATCH(MIN(I2:N2),I2:N2,0))</f>
        <v>Legs</v>
      </c>
      <c r="V2" s="28" t="n">
        <f aca="false">INDEX(Parent_Reference!$D$2:$D$16,MATCH(C2,Parent_Reference!$A$2:$A$16,0))</f>
        <v>112.7</v>
      </c>
      <c r="W2" s="28" t="n">
        <f aca="false">INDEX(Parent_Reference!$D$2:$D$16,MATCH(D2,Parent_Reference!$A$2:$A$16,0))</f>
        <v>106.5</v>
      </c>
      <c r="X2" s="11" t="n">
        <f aca="false">AVERAGE(V2:W2)</f>
        <v>109.6</v>
      </c>
      <c r="Y2" s="10" t="n">
        <f aca="false">COUNTIFS($C$2:$C$41,C2,$O$2:$O$41,"&gt;"&amp;O2)+1</f>
        <v>4</v>
      </c>
      <c r="Z2" s="10" t="str">
        <f aca="false">C2&amp;"|"&amp;Y2</f>
        <v>Pogrom|4</v>
      </c>
      <c r="AA2" s="20" t="n">
        <f aca="false">O2-V2</f>
        <v>0.733333333333334</v>
      </c>
      <c r="AB2" s="10" t="str">
        <f aca="false">INDEX(Horse_Profile!$Q$2:$Q$41,MATCH($A2,Horse_Profile!$A$2:$A$41,0))</f>
        <v/>
      </c>
    </row>
    <row r="3" customFormat="false" ht="15" hidden="false" customHeight="false" outlineLevel="0" collapsed="false">
      <c r="A3" s="10" t="s">
        <v>118</v>
      </c>
      <c r="B3" s="10" t="str">
        <f aca="false">INDEX(Horse_Profile!$B$2:$B$41,MATCH($A3,Horse_Profile!$A$2:$A$41,0))</f>
        <v>HA Basir Royal Flame</v>
      </c>
      <c r="C3" s="10" t="str">
        <f aca="false">INDEX(Horse_Profile!$I$2:$I$41,MATCH($A3,Horse_Profile!$A$2:$A$41,0))</f>
        <v>Pogrom</v>
      </c>
      <c r="D3" s="10" t="str">
        <f aca="false">INDEX(Horse_Profile!$K$2:$K$41,MATCH($A3,Horse_Profile!$A$2:$A$41,0))</f>
        <v>Marwan Al Shaqab</v>
      </c>
      <c r="E3" s="10" t="str">
        <f aca="false">INDEX(Horse_Profile!$D$2:$D$41,MATCH($A3,Horse_Profile!$A$2:$A$41,0))</f>
        <v>Colt</v>
      </c>
      <c r="F3" s="10" t="str">
        <f aca="false">INDEX(Horse_Profile!$F$2:$F$41,MATCH($A3,Horse_Profile!$A$2:$A$41,0))</f>
        <v>Junior</v>
      </c>
      <c r="G3" s="10" t="str">
        <f aca="false">INDEX(Horse_Profile!$L$2:$L$41,MATCH($A3,Horse_Profile!$A$2:$A$41,0))</f>
        <v>Polish/International</v>
      </c>
      <c r="H3" s="10" t="str">
        <f aca="false">INDEX(Horse_Profile!$M$2:$M$41,MATCH($A3,Horse_Profile!$A$2:$A$41,0))</f>
        <v>Crabbet-influenced</v>
      </c>
      <c r="I3" s="11" t="n">
        <f aca="false">AVERAGEIF(Judge_Scores!$B$2:$B$121,$A3,Judge_Scores!$E$2:$E$121)</f>
        <v>19.0333333333333</v>
      </c>
      <c r="J3" s="11" t="n">
        <f aca="false">AVERAGEIF(Judge_Scores!$B$2:$B$121,$A3,Judge_Scores!$F$2:$F$121)</f>
        <v>16.9</v>
      </c>
      <c r="K3" s="11" t="n">
        <f aca="false">AVERAGEIF(Judge_Scores!$B$2:$B$121,$A3,Judge_Scores!$G$2:$G$121)</f>
        <v>19.4666666666667</v>
      </c>
      <c r="L3" s="11" t="n">
        <f aca="false">AVERAGEIF(Judge_Scores!$B$2:$B$121,$A3,Judge_Scores!$H$2:$H$121)</f>
        <v>18.7</v>
      </c>
      <c r="M3" s="11" t="n">
        <f aca="false">AVERAGEIF(Judge_Scores!$B$2:$B$121,$A3,Judge_Scores!$I$2:$I$121)</f>
        <v>18.6</v>
      </c>
      <c r="N3" s="11" t="n">
        <f aca="false">AVERAGEIF(Judge_Scores!$B$2:$B$121,$A3,Judge_Scores!$J$2:$J$121)</f>
        <v>17.6666666666667</v>
      </c>
      <c r="O3" s="11" t="n">
        <f aca="false">AVERAGEIF(Judge_Scores!$B$2:$B$121,$A3,Judge_Scores!$K$2:$K$121)</f>
        <v>110.366666666667</v>
      </c>
      <c r="P3" s="11" t="n">
        <f aca="false">_xlfn.MAXIFS(Judge_Scores!$K$2:$K$121,Judge_Scores!$B$2:$B$121,$A3)-_xlfn.MINIFS(Judge_Scores!$K$2:$K$121,Judge_Scores!$B$2:$B$121,$A3)</f>
        <v>8</v>
      </c>
      <c r="Q3" s="10" t="n">
        <f aca="false">RANK(O3,$O$2:$O$41,0)</f>
        <v>22</v>
      </c>
      <c r="R3" s="10" t="n">
        <f aca="false">Q3+COUNTIF($O$2:O3,O3)-1</f>
        <v>22</v>
      </c>
      <c r="S3" s="10" t="str">
        <f aca="false">IF(O3&gt;=Settings!$B$8,"Elite",IF(O3&gt;=Settings!$B$9,"High",IF(O3&gt;=Settings!$B$10,"Developing","Needs Review")))</f>
        <v>High</v>
      </c>
      <c r="T3" s="10" t="str">
        <f aca="false">INDEX($I$1:$N$1,MATCH(MAX(I3:N3),I3:N3,0))</f>
        <v>Body_Topline</v>
      </c>
      <c r="U3" s="10" t="str">
        <f aca="false">INDEX($I$1:$N$1,MATCH(MIN(I3:N3),I3:N3,0))</f>
        <v>Head_Neck</v>
      </c>
      <c r="V3" s="28" t="n">
        <f aca="false">INDEX(Parent_Reference!$D$2:$D$16,MATCH(C3,Parent_Reference!$A$2:$A$16,0))</f>
        <v>112.7</v>
      </c>
      <c r="W3" s="28" t="n">
        <f aca="false">INDEX(Parent_Reference!$D$2:$D$16,MATCH(D3,Parent_Reference!$A$2:$A$16,0))</f>
        <v>107.2</v>
      </c>
      <c r="X3" s="11" t="n">
        <f aca="false">AVERAGE(V3:W3)</f>
        <v>109.95</v>
      </c>
      <c r="Y3" s="10" t="n">
        <f aca="false">COUNTIFS($C$2:$C$41,C3,$O$2:$O$41,"&gt;"&amp;O3)+1</f>
        <v>10</v>
      </c>
      <c r="Z3" s="10" t="str">
        <f aca="false">C3&amp;"|"&amp;Y3</f>
        <v>Pogrom|10</v>
      </c>
      <c r="AA3" s="20" t="n">
        <f aca="false">O3-V3</f>
        <v>-2.33333333333333</v>
      </c>
      <c r="AB3" s="10" t="str">
        <f aca="false">INDEX(Horse_Profile!$Q$2:$Q$41,MATCH($A3,Horse_Profile!$A$2:$A$41,0))</f>
        <v/>
      </c>
    </row>
    <row r="4" customFormat="false" ht="15" hidden="false" customHeight="false" outlineLevel="0" collapsed="false">
      <c r="A4" s="10" t="s">
        <v>129</v>
      </c>
      <c r="B4" s="10" t="str">
        <f aca="false">INDEX(Horse_Profile!$B$2:$B$41,MATCH($A4,Horse_Profile!$A$2:$A$41,0))</f>
        <v>HA Nadir Sundance</v>
      </c>
      <c r="C4" s="10" t="str">
        <f aca="false">INDEX(Horse_Profile!$I$2:$I$41,MATCH($A4,Horse_Profile!$A$2:$A$41,0))</f>
        <v>Abha Qatar</v>
      </c>
      <c r="D4" s="10" t="str">
        <f aca="false">INDEX(Horse_Profile!$K$2:$K$41,MATCH($A4,Horse_Profile!$A$2:$A$41,0))</f>
        <v>Da Valentino</v>
      </c>
      <c r="E4" s="10" t="str">
        <f aca="false">INDEX(Horse_Profile!$D$2:$D$41,MATCH($A4,Horse_Profile!$A$2:$A$41,0))</f>
        <v>Stallion</v>
      </c>
      <c r="F4" s="10" t="str">
        <f aca="false">INDEX(Horse_Profile!$F$2:$F$41,MATCH($A4,Horse_Profile!$A$2:$A$41,0))</f>
        <v>Junior</v>
      </c>
      <c r="G4" s="10" t="str">
        <f aca="false">INDEX(Horse_Profile!$L$2:$L$41,MATCH($A4,Horse_Profile!$A$2:$A$41,0))</f>
        <v>Qatari/Spanish</v>
      </c>
      <c r="H4" s="10" t="str">
        <f aca="false">INDEX(Horse_Profile!$M$2:$M$41,MATCH($A4,Horse_Profile!$A$2:$A$41,0))</f>
        <v>Spanish</v>
      </c>
      <c r="I4" s="11" t="n">
        <f aca="false">AVERAGEIF(Judge_Scores!$B$2:$B$121,$A4,Judge_Scores!$E$2:$E$121)</f>
        <v>18.2666666666667</v>
      </c>
      <c r="J4" s="11" t="n">
        <f aca="false">AVERAGEIF(Judge_Scores!$B$2:$B$121,$A4,Judge_Scores!$F$2:$F$121)</f>
        <v>18.8666666666667</v>
      </c>
      <c r="K4" s="11" t="n">
        <f aca="false">AVERAGEIF(Judge_Scores!$B$2:$B$121,$A4,Judge_Scores!$G$2:$G$121)</f>
        <v>18.1333333333333</v>
      </c>
      <c r="L4" s="11" t="n">
        <f aca="false">AVERAGEIF(Judge_Scores!$B$2:$B$121,$A4,Judge_Scores!$H$2:$H$121)</f>
        <v>17.0333333333333</v>
      </c>
      <c r="M4" s="11" t="n">
        <f aca="false">AVERAGEIF(Judge_Scores!$B$2:$B$121,$A4,Judge_Scores!$I$2:$I$121)</f>
        <v>18</v>
      </c>
      <c r="N4" s="11" t="n">
        <f aca="false">AVERAGEIF(Judge_Scores!$B$2:$B$121,$A4,Judge_Scores!$J$2:$J$121)</f>
        <v>17.4333333333333</v>
      </c>
      <c r="O4" s="11" t="n">
        <f aca="false">AVERAGEIF(Judge_Scores!$B$2:$B$121,$A4,Judge_Scores!$K$2:$K$121)</f>
        <v>107.733333333333</v>
      </c>
      <c r="P4" s="11" t="n">
        <f aca="false">_xlfn.MAXIFS(Judge_Scores!$K$2:$K$121,Judge_Scores!$B$2:$B$121,$A4)-_xlfn.MINIFS(Judge_Scores!$K$2:$K$121,Judge_Scores!$B$2:$B$121,$A4)</f>
        <v>5.39999999999999</v>
      </c>
      <c r="Q4" s="10" t="n">
        <f aca="false">RANK(O4,$O$2:$O$41,0)</f>
        <v>32</v>
      </c>
      <c r="R4" s="10" t="n">
        <f aca="false">Q4+COUNTIF($O$2:O4,O4)-1</f>
        <v>32</v>
      </c>
      <c r="S4" s="10" t="str">
        <f aca="false">IF(O4&gt;=Settings!$B$8,"Elite",IF(O4&gt;=Settings!$B$9,"High",IF(O4&gt;=Settings!$B$10,"Developing","Needs Review")))</f>
        <v>High</v>
      </c>
      <c r="T4" s="10" t="str">
        <f aca="false">INDEX($I$1:$N$1,MATCH(MAX(I4:N4),I4:N4,0))</f>
        <v>Head_Neck</v>
      </c>
      <c r="U4" s="10" t="str">
        <f aca="false">INDEX($I$1:$N$1,MATCH(MIN(I4:N4),I4:N4,0))</f>
        <v>Legs</v>
      </c>
      <c r="V4" s="28" t="n">
        <f aca="false">INDEX(Parent_Reference!$D$2:$D$16,MATCH(C4,Parent_Reference!$A$2:$A$16,0))</f>
        <v>112.9</v>
      </c>
      <c r="W4" s="28" t="n">
        <f aca="false">INDEX(Parent_Reference!$D$2:$D$16,MATCH(D4,Parent_Reference!$A$2:$A$16,0))</f>
        <v>106.8</v>
      </c>
      <c r="X4" s="11" t="n">
        <f aca="false">AVERAGE(V4:W4)</f>
        <v>109.85</v>
      </c>
      <c r="Y4" s="10" t="n">
        <f aca="false">COUNTIFS($C$2:$C$41,C4,$O$2:$O$41,"&gt;"&amp;O4)+1</f>
        <v>6</v>
      </c>
      <c r="Z4" s="10" t="str">
        <f aca="false">C4&amp;"|"&amp;Y4</f>
        <v>Abha Qatar|6</v>
      </c>
      <c r="AA4" s="20" t="n">
        <f aca="false">O4-V4</f>
        <v>-5.16666666666667</v>
      </c>
      <c r="AB4" s="10" t="str">
        <f aca="false">INDEX(Horse_Profile!$Q$2:$Q$41,MATCH($A4,Horse_Profile!$A$2:$A$41,0))</f>
        <v>Sex/age mismatch</v>
      </c>
    </row>
    <row r="5" customFormat="false" ht="15" hidden="false" customHeight="false" outlineLevel="0" collapsed="false">
      <c r="A5" s="10" t="s">
        <v>142</v>
      </c>
      <c r="B5" s="10" t="str">
        <f aca="false">INDEX(Horse_Profile!$B$2:$B$41,MATCH($A5,Horse_Profile!$A$2:$A$41,0))</f>
        <v>HA Layla Dream</v>
      </c>
      <c r="C5" s="10" t="str">
        <f aca="false">INDEX(Horse_Profile!$I$2:$I$41,MATCH($A5,Horse_Profile!$A$2:$A$41,0))</f>
        <v>Cavali by Da Valentio</v>
      </c>
      <c r="D5" s="10" t="str">
        <f aca="false">INDEX(Horse_Profile!$K$2:$K$41,MATCH($A5,Horse_Profile!$A$2:$A$41,0))</f>
        <v>Bey Shah</v>
      </c>
      <c r="E5" s="10" t="str">
        <f aca="false">INDEX(Horse_Profile!$D$2:$D$41,MATCH($A5,Horse_Profile!$A$2:$A$41,0))</f>
        <v>Mare</v>
      </c>
      <c r="F5" s="10" t="str">
        <f aca="false">INDEX(Horse_Profile!$F$2:$F$41,MATCH($A5,Horse_Profile!$A$2:$A$41,0))</f>
        <v>Young Horse</v>
      </c>
      <c r="G5" s="10" t="str">
        <f aca="false">INDEX(Horse_Profile!$L$2:$L$41,MATCH($A5,Horse_Profile!$A$2:$A$41,0))</f>
        <v>Valentino/International</v>
      </c>
      <c r="H5" s="10" t="str">
        <f aca="false">INDEX(Horse_Profile!$M$2:$M$41,MATCH($A5,Horse_Profile!$A$2:$A$41,0))</f>
        <v>Domestic</v>
      </c>
      <c r="I5" s="11" t="n">
        <f aca="false">AVERAGEIF(Judge_Scores!$B$2:$B$121,$A5,Judge_Scores!$E$2:$E$121)</f>
        <v>18.8666666666667</v>
      </c>
      <c r="J5" s="11" t="n">
        <f aca="false">AVERAGEIF(Judge_Scores!$B$2:$B$121,$A5,Judge_Scores!$F$2:$F$121)</f>
        <v>18.9666666666667</v>
      </c>
      <c r="K5" s="11" t="n">
        <f aca="false">AVERAGEIF(Judge_Scores!$B$2:$B$121,$A5,Judge_Scores!$G$2:$G$121)</f>
        <v>17.7</v>
      </c>
      <c r="L5" s="11" t="n">
        <f aca="false">AVERAGEIF(Judge_Scores!$B$2:$B$121,$A5,Judge_Scores!$H$2:$H$121)</f>
        <v>18.9333333333333</v>
      </c>
      <c r="M5" s="11" t="n">
        <f aca="false">AVERAGEIF(Judge_Scores!$B$2:$B$121,$A5,Judge_Scores!$I$2:$I$121)</f>
        <v>18.9666666666667</v>
      </c>
      <c r="N5" s="11" t="n">
        <f aca="false">AVERAGEIF(Judge_Scores!$B$2:$B$121,$A5,Judge_Scores!$J$2:$J$121)</f>
        <v>18.7</v>
      </c>
      <c r="O5" s="11" t="n">
        <f aca="false">AVERAGEIF(Judge_Scores!$B$2:$B$121,$A5,Judge_Scores!$K$2:$K$121)</f>
        <v>112.133333333333</v>
      </c>
      <c r="P5" s="11" t="n">
        <f aca="false">_xlfn.MAXIFS(Judge_Scores!$K$2:$K$121,Judge_Scores!$B$2:$B$121,$A5)-_xlfn.MINIFS(Judge_Scores!$K$2:$K$121,Judge_Scores!$B$2:$B$121,$A5)</f>
        <v>7.80000000000001</v>
      </c>
      <c r="Q5" s="10" t="n">
        <f aca="false">RANK(O5,$O$2:$O$41,0)</f>
        <v>9</v>
      </c>
      <c r="R5" s="10" t="n">
        <f aca="false">Q5+COUNTIF($O$2:O5,O5)-1</f>
        <v>9</v>
      </c>
      <c r="S5" s="10" t="str">
        <f aca="false">IF(O5&gt;=Settings!$B$8,"Elite",IF(O5&gt;=Settings!$B$9,"High",IF(O5&gt;=Settings!$B$10,"Developing","Needs Review")))</f>
        <v>Elite</v>
      </c>
      <c r="T5" s="10" t="str">
        <f aca="false">INDEX($I$1:$N$1,MATCH(MAX(I5:N5),I5:N5,0))</f>
        <v>Head_Neck</v>
      </c>
      <c r="U5" s="10" t="str">
        <f aca="false">INDEX($I$1:$N$1,MATCH(MIN(I5:N5),I5:N5,0))</f>
        <v>Body_Topline</v>
      </c>
      <c r="V5" s="28" t="n">
        <f aca="false">INDEX(Parent_Reference!$D$2:$D$16,MATCH(C5,Parent_Reference!$A$2:$A$16,0))</f>
        <v>112.8</v>
      </c>
      <c r="W5" s="28" t="n">
        <f aca="false">INDEX(Parent_Reference!$D$2:$D$16,MATCH(D5,Parent_Reference!$A$2:$A$16,0))</f>
        <v>111.5</v>
      </c>
      <c r="X5" s="11" t="n">
        <f aca="false">AVERAGE(V5:W5)</f>
        <v>112.15</v>
      </c>
      <c r="Y5" s="10" t="n">
        <f aca="false">COUNTIFS($C$2:$C$41,C5,$O$2:$O$41,"&gt;"&amp;O5)+1</f>
        <v>4</v>
      </c>
      <c r="Z5" s="10" t="str">
        <f aca="false">C5&amp;"|"&amp;Y5</f>
        <v>Cavali by Da Valentio|4</v>
      </c>
      <c r="AA5" s="20" t="n">
        <f aca="false">O5-V5</f>
        <v>-0.666666666666671</v>
      </c>
      <c r="AB5" s="10" t="str">
        <f aca="false">INDEX(Horse_Profile!$Q$2:$Q$41,MATCH($A5,Horse_Profile!$A$2:$A$41,0))</f>
        <v>Sex/age mismatch</v>
      </c>
    </row>
    <row r="6" customFormat="false" ht="15" hidden="false" customHeight="false" outlineLevel="0" collapsed="false">
      <c r="A6" s="10" t="s">
        <v>153</v>
      </c>
      <c r="B6" s="10" t="str">
        <f aca="false">INDEX(Horse_Profile!$B$2:$B$41,MATCH($A6,Horse_Profile!$A$2:$A$41,0))</f>
        <v>HA Zafir Golden Star</v>
      </c>
      <c r="C6" s="10" t="str">
        <f aca="false">INDEX(Horse_Profile!$I$2:$I$41,MATCH($A6,Horse_Profile!$A$2:$A$41,0))</f>
        <v>Van Gogh AM</v>
      </c>
      <c r="D6" s="10" t="str">
        <f aca="false">INDEX(Horse_Profile!$K$2:$K$41,MATCH($A6,Horse_Profile!$A$2:$A$41,0))</f>
        <v>El Nabila B</v>
      </c>
      <c r="E6" s="10" t="str">
        <f aca="false">INDEX(Horse_Profile!$D$2:$D$41,MATCH($A6,Horse_Profile!$A$2:$A$41,0))</f>
        <v>Stallion</v>
      </c>
      <c r="F6" s="10" t="str">
        <f aca="false">INDEX(Horse_Profile!$F$2:$F$41,MATCH($A6,Horse_Profile!$A$2:$A$41,0))</f>
        <v>Young Horse</v>
      </c>
      <c r="G6" s="10" t="str">
        <f aca="false">INDEX(Horse_Profile!$L$2:$L$41,MATCH($A6,Horse_Profile!$A$2:$A$41,0))</f>
        <v>Brazilian/International</v>
      </c>
      <c r="H6" s="10" t="str">
        <f aca="false">INDEX(Horse_Profile!$M$2:$M$41,MATCH($A6,Horse_Profile!$A$2:$A$41,0))</f>
        <v>Spanish</v>
      </c>
      <c r="I6" s="11" t="n">
        <f aca="false">AVERAGEIF(Judge_Scores!$B$2:$B$121,$A6,Judge_Scores!$E$2:$E$121)</f>
        <v>18.6666666666667</v>
      </c>
      <c r="J6" s="11" t="n">
        <f aca="false">AVERAGEIF(Judge_Scores!$B$2:$B$121,$A6,Judge_Scores!$F$2:$F$121)</f>
        <v>18.2</v>
      </c>
      <c r="K6" s="11" t="n">
        <f aca="false">AVERAGEIF(Judge_Scores!$B$2:$B$121,$A6,Judge_Scores!$G$2:$G$121)</f>
        <v>18.5666666666667</v>
      </c>
      <c r="L6" s="11" t="n">
        <f aca="false">AVERAGEIF(Judge_Scores!$B$2:$B$121,$A6,Judge_Scores!$H$2:$H$121)</f>
        <v>16.8333333333333</v>
      </c>
      <c r="M6" s="11" t="n">
        <f aca="false">AVERAGEIF(Judge_Scores!$B$2:$B$121,$A6,Judge_Scores!$I$2:$I$121)</f>
        <v>18.3666666666667</v>
      </c>
      <c r="N6" s="11" t="n">
        <f aca="false">AVERAGEIF(Judge_Scores!$B$2:$B$121,$A6,Judge_Scores!$J$2:$J$121)</f>
        <v>17.8666666666667</v>
      </c>
      <c r="O6" s="11" t="n">
        <f aca="false">AVERAGEIF(Judge_Scores!$B$2:$B$121,$A6,Judge_Scores!$K$2:$K$121)</f>
        <v>108.5</v>
      </c>
      <c r="P6" s="11" t="n">
        <f aca="false">_xlfn.MAXIFS(Judge_Scores!$K$2:$K$121,Judge_Scores!$B$2:$B$121,$A6)-_xlfn.MINIFS(Judge_Scores!$K$2:$K$121,Judge_Scores!$B$2:$B$121,$A6)</f>
        <v>4.09999999999999</v>
      </c>
      <c r="Q6" s="10" t="n">
        <f aca="false">RANK(O6,$O$2:$O$41,0)</f>
        <v>28</v>
      </c>
      <c r="R6" s="10" t="n">
        <f aca="false">Q6+COUNTIF($O$2:O6,O6)-1</f>
        <v>28</v>
      </c>
      <c r="S6" s="10" t="str">
        <f aca="false">IF(O6&gt;=Settings!$B$8,"Elite",IF(O6&gt;=Settings!$B$9,"High",IF(O6&gt;=Settings!$B$10,"Developing","Needs Review")))</f>
        <v>High</v>
      </c>
      <c r="T6" s="10" t="str">
        <f aca="false">INDEX($I$1:$N$1,MATCH(MAX(I6:N6),I6:N6,0))</f>
        <v>Type</v>
      </c>
      <c r="U6" s="10" t="str">
        <f aca="false">INDEX($I$1:$N$1,MATCH(MIN(I6:N6),I6:N6,0))</f>
        <v>Legs</v>
      </c>
      <c r="V6" s="28" t="n">
        <f aca="false">INDEX(Parent_Reference!$D$2:$D$16,MATCH(C6,Parent_Reference!$A$2:$A$16,0))</f>
        <v>111.7</v>
      </c>
      <c r="W6" s="28" t="n">
        <f aca="false">INDEX(Parent_Reference!$D$2:$D$16,MATCH(D6,Parent_Reference!$A$2:$A$16,0))</f>
        <v>106.5</v>
      </c>
      <c r="X6" s="11" t="n">
        <f aca="false">AVERAGE(V6:W6)</f>
        <v>109.1</v>
      </c>
      <c r="Y6" s="10" t="n">
        <f aca="false">COUNTIFS($C$2:$C$41,C6,$O$2:$O$41,"&gt;"&amp;O6)+1</f>
        <v>4</v>
      </c>
      <c r="Z6" s="10" t="str">
        <f aca="false">C6&amp;"|"&amp;Y6</f>
        <v>Van Gogh AM|4</v>
      </c>
      <c r="AA6" s="20" t="n">
        <f aca="false">O6-V6</f>
        <v>-3.2</v>
      </c>
      <c r="AB6" s="10" t="str">
        <f aca="false">INDEX(Horse_Profile!$Q$2:$Q$41,MATCH($A6,Horse_Profile!$A$2:$A$41,0))</f>
        <v>Sex/age mismatch</v>
      </c>
    </row>
    <row r="7" customFormat="false" ht="15" hidden="false" customHeight="false" outlineLevel="0" collapsed="false">
      <c r="A7" s="10" t="s">
        <v>161</v>
      </c>
      <c r="B7" s="10" t="str">
        <f aca="false">INDEX(Horse_Profile!$B$2:$B$41,MATCH($A7,Horse_Profile!$A$2:$A$41,0))</f>
        <v>HA Malika Amethyst</v>
      </c>
      <c r="C7" s="10" t="str">
        <f aca="false">INDEX(Horse_Profile!$I$2:$I$41,MATCH($A7,Horse_Profile!$A$2:$A$41,0))</f>
        <v>Van Gogh AM</v>
      </c>
      <c r="D7" s="10" t="str">
        <f aca="false">INDEX(Horse_Profile!$K$2:$K$41,MATCH($A7,Horse_Profile!$A$2:$A$41,0))</f>
        <v>Gazal Al Shaqab</v>
      </c>
      <c r="E7" s="10" t="str">
        <f aca="false">INDEX(Horse_Profile!$D$2:$D$41,MATCH($A7,Horse_Profile!$A$2:$A$41,0))</f>
        <v>Gelding</v>
      </c>
      <c r="F7" s="10" t="str">
        <f aca="false">INDEX(Horse_Profile!$F$2:$F$41,MATCH($A7,Horse_Profile!$A$2:$A$41,0))</f>
        <v>Mature</v>
      </c>
      <c r="G7" s="10" t="str">
        <f aca="false">INDEX(Horse_Profile!$L$2:$L$41,MATCH($A7,Horse_Profile!$A$2:$A$41,0))</f>
        <v>Brazilian/International</v>
      </c>
      <c r="H7" s="10" t="str">
        <f aca="false">INDEX(Horse_Profile!$M$2:$M$41,MATCH($A7,Horse_Profile!$A$2:$A$41,0))</f>
        <v>Polish</v>
      </c>
      <c r="I7" s="11" t="n">
        <f aca="false">AVERAGEIF(Judge_Scores!$B$2:$B$121,$A7,Judge_Scores!$E$2:$E$121)</f>
        <v>18.4</v>
      </c>
      <c r="J7" s="11" t="n">
        <f aca="false">AVERAGEIF(Judge_Scores!$B$2:$B$121,$A7,Judge_Scores!$F$2:$F$121)</f>
        <v>19.2</v>
      </c>
      <c r="K7" s="11" t="n">
        <f aca="false">AVERAGEIF(Judge_Scores!$B$2:$B$121,$A7,Judge_Scores!$G$2:$G$121)</f>
        <v>18.5</v>
      </c>
      <c r="L7" s="11" t="n">
        <f aca="false">AVERAGEIF(Judge_Scores!$B$2:$B$121,$A7,Judge_Scores!$H$2:$H$121)</f>
        <v>18.5</v>
      </c>
      <c r="M7" s="11" t="n">
        <f aca="false">AVERAGEIF(Judge_Scores!$B$2:$B$121,$A7,Judge_Scores!$I$2:$I$121)</f>
        <v>18.2333333333333</v>
      </c>
      <c r="N7" s="11" t="n">
        <f aca="false">AVERAGEIF(Judge_Scores!$B$2:$B$121,$A7,Judge_Scores!$J$2:$J$121)</f>
        <v>18.6</v>
      </c>
      <c r="O7" s="11" t="n">
        <f aca="false">AVERAGEIF(Judge_Scores!$B$2:$B$121,$A7,Judge_Scores!$K$2:$K$121)</f>
        <v>111.433333333333</v>
      </c>
      <c r="P7" s="11" t="n">
        <f aca="false">_xlfn.MAXIFS(Judge_Scores!$K$2:$K$121,Judge_Scores!$B$2:$B$121,$A7)-_xlfn.MINIFS(Judge_Scores!$K$2:$K$121,Judge_Scores!$B$2:$B$121,$A7)</f>
        <v>3.49999999999997</v>
      </c>
      <c r="Q7" s="10" t="n">
        <f aca="false">RANK(O7,$O$2:$O$41,0)</f>
        <v>13</v>
      </c>
      <c r="R7" s="10" t="n">
        <f aca="false">Q7+COUNTIF($O$2:O7,O7)-1</f>
        <v>13</v>
      </c>
      <c r="S7" s="10" t="str">
        <f aca="false">IF(O7&gt;=Settings!$B$8,"Elite",IF(O7&gt;=Settings!$B$9,"High",IF(O7&gt;=Settings!$B$10,"Developing","Needs Review")))</f>
        <v>High</v>
      </c>
      <c r="T7" s="10" t="str">
        <f aca="false">INDEX($I$1:$N$1,MATCH(MAX(I7:N7),I7:N7,0))</f>
        <v>Head_Neck</v>
      </c>
      <c r="U7" s="10" t="str">
        <f aca="false">INDEX($I$1:$N$1,MATCH(MIN(I7:N7),I7:N7,0))</f>
        <v>Movement</v>
      </c>
      <c r="V7" s="28" t="n">
        <f aca="false">INDEX(Parent_Reference!$D$2:$D$16,MATCH(C7,Parent_Reference!$A$2:$A$16,0))</f>
        <v>111.7</v>
      </c>
      <c r="W7" s="28" t="n">
        <f aca="false">INDEX(Parent_Reference!$D$2:$D$16,MATCH(D7,Parent_Reference!$A$2:$A$16,0))</f>
        <v>107.6</v>
      </c>
      <c r="X7" s="11" t="n">
        <f aca="false">AVERAGE(V7:W7)</f>
        <v>109.65</v>
      </c>
      <c r="Y7" s="10" t="n">
        <f aca="false">COUNTIFS($C$2:$C$41,C7,$O$2:$O$41,"&gt;"&amp;O7)+1</f>
        <v>1</v>
      </c>
      <c r="Z7" s="10" t="str">
        <f aca="false">C7&amp;"|"&amp;Y7</f>
        <v>Van Gogh AM|1</v>
      </c>
      <c r="AA7" s="20" t="n">
        <f aca="false">O7-V7</f>
        <v>-0.266666666666666</v>
      </c>
      <c r="AB7" s="10" t="str">
        <f aca="false">INDEX(Horse_Profile!$Q$2:$Q$41,MATCH($A7,Horse_Profile!$A$2:$A$41,0))</f>
        <v/>
      </c>
    </row>
    <row r="8" customFormat="false" ht="15" hidden="false" customHeight="false" outlineLevel="0" collapsed="false">
      <c r="A8" s="10" t="s">
        <v>168</v>
      </c>
      <c r="B8" s="10" t="str">
        <f aca="false">INDEX(Horse_Profile!$B$2:$B$41,MATCH($A8,Horse_Profile!$A$2:$A$41,0))</f>
        <v>HA Sultan Golden Star</v>
      </c>
      <c r="C8" s="10" t="str">
        <f aca="false">INDEX(Horse_Profile!$I$2:$I$41,MATCH($A8,Horse_Profile!$A$2:$A$41,0))</f>
        <v>Titan AS</v>
      </c>
      <c r="D8" s="10" t="str">
        <f aca="false">INDEX(Horse_Profile!$K$2:$K$41,MATCH($A8,Horse_Profile!$A$2:$A$41,0))</f>
        <v>WH Justice</v>
      </c>
      <c r="E8" s="10" t="str">
        <f aca="false">INDEX(Horse_Profile!$D$2:$D$41,MATCH($A8,Horse_Profile!$A$2:$A$41,0))</f>
        <v>Gelding</v>
      </c>
      <c r="F8" s="10" t="str">
        <f aca="false">INDEX(Horse_Profile!$F$2:$F$41,MATCH($A8,Horse_Profile!$A$2:$A$41,0))</f>
        <v>Young Horse</v>
      </c>
      <c r="G8" s="10" t="str">
        <f aca="false">INDEX(Horse_Profile!$L$2:$L$41,MATCH($A8,Horse_Profile!$A$2:$A$41,0))</f>
        <v>American/International</v>
      </c>
      <c r="H8" s="10" t="str">
        <f aca="false">INDEX(Horse_Profile!$M$2:$M$41,MATCH($A8,Horse_Profile!$A$2:$A$41,0))</f>
        <v>Polish</v>
      </c>
      <c r="I8" s="11" t="n">
        <f aca="false">AVERAGEIF(Judge_Scores!$B$2:$B$121,$A8,Judge_Scores!$E$2:$E$121)</f>
        <v>16.8666666666667</v>
      </c>
      <c r="J8" s="11" t="n">
        <f aca="false">AVERAGEIF(Judge_Scores!$B$2:$B$121,$A8,Judge_Scores!$F$2:$F$121)</f>
        <v>16.0666666666667</v>
      </c>
      <c r="K8" s="11" t="n">
        <f aca="false">AVERAGEIF(Judge_Scores!$B$2:$B$121,$A8,Judge_Scores!$G$2:$G$121)</f>
        <v>18.7</v>
      </c>
      <c r="L8" s="11" t="n">
        <f aca="false">AVERAGEIF(Judge_Scores!$B$2:$B$121,$A8,Judge_Scores!$H$2:$H$121)</f>
        <v>17.5333333333333</v>
      </c>
      <c r="M8" s="11" t="n">
        <f aca="false">AVERAGEIF(Judge_Scores!$B$2:$B$121,$A8,Judge_Scores!$I$2:$I$121)</f>
        <v>17.5333333333333</v>
      </c>
      <c r="N8" s="11" t="n">
        <f aca="false">AVERAGEIF(Judge_Scores!$B$2:$B$121,$A8,Judge_Scores!$J$2:$J$121)</f>
        <v>16.7666666666667</v>
      </c>
      <c r="O8" s="11" t="n">
        <f aca="false">AVERAGEIF(Judge_Scores!$B$2:$B$121,$A8,Judge_Scores!$K$2:$K$121)</f>
        <v>103.466666666667</v>
      </c>
      <c r="P8" s="11" t="n">
        <f aca="false">_xlfn.MAXIFS(Judge_Scores!$K$2:$K$121,Judge_Scores!$B$2:$B$121,$A8)-_xlfn.MINIFS(Judge_Scores!$K$2:$K$121,Judge_Scores!$B$2:$B$121,$A8)</f>
        <v>8.90000000000001</v>
      </c>
      <c r="Q8" s="10" t="n">
        <f aca="false">RANK(O8,$O$2:$O$41,0)</f>
        <v>39</v>
      </c>
      <c r="R8" s="10" t="n">
        <f aca="false">Q8+COUNTIF($O$2:O8,O8)-1</f>
        <v>39</v>
      </c>
      <c r="S8" s="10" t="str">
        <f aca="false">IF(O8&gt;=Settings!$B$8,"Elite",IF(O8&gt;=Settings!$B$9,"High",IF(O8&gt;=Settings!$B$10,"Developing","Needs Review")))</f>
        <v>Developing</v>
      </c>
      <c r="T8" s="10" t="str">
        <f aca="false">INDEX($I$1:$N$1,MATCH(MAX(I8:N8),I8:N8,0))</f>
        <v>Body_Topline</v>
      </c>
      <c r="U8" s="10" t="str">
        <f aca="false">INDEX($I$1:$N$1,MATCH(MIN(I8:N8),I8:N8,0))</f>
        <v>Head_Neck</v>
      </c>
      <c r="V8" s="28" t="n">
        <f aca="false">INDEX(Parent_Reference!$D$2:$D$16,MATCH(C8,Parent_Reference!$A$2:$A$16,0))</f>
        <v>111.3</v>
      </c>
      <c r="W8" s="28" t="n">
        <f aca="false">INDEX(Parent_Reference!$D$2:$D$16,MATCH(D8,Parent_Reference!$A$2:$A$16,0))</f>
        <v>104.6</v>
      </c>
      <c r="X8" s="11" t="n">
        <f aca="false">AVERAGE(V8:W8)</f>
        <v>107.95</v>
      </c>
      <c r="Y8" s="10" t="n">
        <f aca="false">COUNTIFS($C$2:$C$41,C8,$O$2:$O$41,"&gt;"&amp;O8)+1</f>
        <v>6</v>
      </c>
      <c r="Z8" s="10" t="str">
        <f aca="false">C8&amp;"|"&amp;Y8</f>
        <v>Titan AS|6</v>
      </c>
      <c r="AA8" s="20" t="n">
        <f aca="false">O8-V8</f>
        <v>-7.83333333333334</v>
      </c>
      <c r="AB8" s="10" t="str">
        <f aca="false">INDEX(Horse_Profile!$Q$2:$Q$41,MATCH($A8,Horse_Profile!$A$2:$A$41,0))</f>
        <v/>
      </c>
    </row>
    <row r="9" customFormat="false" ht="15" hidden="false" customHeight="false" outlineLevel="0" collapsed="false">
      <c r="A9" s="10" t="s">
        <v>176</v>
      </c>
      <c r="B9" s="10" t="str">
        <f aca="false">INDEX(Horse_Profile!$B$2:$B$41,MATCH($A9,Horse_Profile!$A$2:$A$41,0))</f>
        <v>HA Noor Mirage</v>
      </c>
      <c r="C9" s="10" t="str">
        <f aca="false">INDEX(Horse_Profile!$I$2:$I$41,MATCH($A9,Horse_Profile!$A$2:$A$41,0))</f>
        <v>Abha Qatar</v>
      </c>
      <c r="D9" s="10" t="str">
        <f aca="false">INDEX(Horse_Profile!$K$2:$K$41,MATCH($A9,Horse_Profile!$A$2:$A$41,0))</f>
        <v>El Nabila B</v>
      </c>
      <c r="E9" s="10" t="str">
        <f aca="false">INDEX(Horse_Profile!$D$2:$D$41,MATCH($A9,Horse_Profile!$A$2:$A$41,0))</f>
        <v>Mare</v>
      </c>
      <c r="F9" s="10" t="str">
        <f aca="false">INDEX(Horse_Profile!$F$2:$F$41,MATCH($A9,Horse_Profile!$A$2:$A$41,0))</f>
        <v>Junior</v>
      </c>
      <c r="G9" s="10" t="str">
        <f aca="false">INDEX(Horse_Profile!$L$2:$L$41,MATCH($A9,Horse_Profile!$A$2:$A$41,0))</f>
        <v>Qatari/Spanish</v>
      </c>
      <c r="H9" s="10" t="str">
        <f aca="false">INDEX(Horse_Profile!$M$2:$M$41,MATCH($A9,Horse_Profile!$A$2:$A$41,0))</f>
        <v>Domestic</v>
      </c>
      <c r="I9" s="11" t="n">
        <f aca="false">AVERAGEIF(Judge_Scores!$B$2:$B$121,$A9,Judge_Scores!$E$2:$E$121)</f>
        <v>18.0333333333333</v>
      </c>
      <c r="J9" s="11" t="n">
        <f aca="false">AVERAGEIF(Judge_Scores!$B$2:$B$121,$A9,Judge_Scores!$F$2:$F$121)</f>
        <v>18.6666666666667</v>
      </c>
      <c r="K9" s="11" t="n">
        <f aca="false">AVERAGEIF(Judge_Scores!$B$2:$B$121,$A9,Judge_Scores!$G$2:$G$121)</f>
        <v>16.6333333333333</v>
      </c>
      <c r="L9" s="11" t="n">
        <f aca="false">AVERAGEIF(Judge_Scores!$B$2:$B$121,$A9,Judge_Scores!$H$2:$H$121)</f>
        <v>16.9</v>
      </c>
      <c r="M9" s="11" t="n">
        <f aca="false">AVERAGEIF(Judge_Scores!$B$2:$B$121,$A9,Judge_Scores!$I$2:$I$121)</f>
        <v>17.4666666666667</v>
      </c>
      <c r="N9" s="11" t="n">
        <f aca="false">AVERAGEIF(Judge_Scores!$B$2:$B$121,$A9,Judge_Scores!$J$2:$J$121)</f>
        <v>18.1</v>
      </c>
      <c r="O9" s="11" t="n">
        <f aca="false">AVERAGEIF(Judge_Scores!$B$2:$B$121,$A9,Judge_Scores!$K$2:$K$121)</f>
        <v>105.8</v>
      </c>
      <c r="P9" s="11" t="n">
        <f aca="false">_xlfn.MAXIFS(Judge_Scores!$K$2:$K$121,Judge_Scores!$B$2:$B$121,$A9)-_xlfn.MINIFS(Judge_Scores!$K$2:$K$121,Judge_Scores!$B$2:$B$121,$A9)</f>
        <v>5</v>
      </c>
      <c r="Q9" s="10" t="n">
        <f aca="false">RANK(O9,$O$2:$O$41,0)</f>
        <v>36</v>
      </c>
      <c r="R9" s="10" t="n">
        <f aca="false">Q9+COUNTIF($O$2:O9,O9)-1</f>
        <v>36</v>
      </c>
      <c r="S9" s="10" t="str">
        <f aca="false">IF(O9&gt;=Settings!$B$8,"Elite",IF(O9&gt;=Settings!$B$9,"High",IF(O9&gt;=Settings!$B$10,"Developing","Needs Review")))</f>
        <v>Developing</v>
      </c>
      <c r="T9" s="10" t="str">
        <f aca="false">INDEX($I$1:$N$1,MATCH(MAX(I9:N9),I9:N9,0))</f>
        <v>Head_Neck</v>
      </c>
      <c r="U9" s="10" t="str">
        <f aca="false">INDEX($I$1:$N$1,MATCH(MIN(I9:N9),I9:N9,0))</f>
        <v>Body_Topline</v>
      </c>
      <c r="V9" s="28" t="n">
        <f aca="false">INDEX(Parent_Reference!$D$2:$D$16,MATCH(C9,Parent_Reference!$A$2:$A$16,0))</f>
        <v>112.9</v>
      </c>
      <c r="W9" s="28" t="n">
        <f aca="false">INDEX(Parent_Reference!$D$2:$D$16,MATCH(D9,Parent_Reference!$A$2:$A$16,0))</f>
        <v>106.5</v>
      </c>
      <c r="X9" s="11" t="n">
        <f aca="false">AVERAGE(V9:W9)</f>
        <v>109.7</v>
      </c>
      <c r="Y9" s="10" t="n">
        <f aca="false">COUNTIFS($C$2:$C$41,C9,$O$2:$O$41,"&gt;"&amp;O9)+1</f>
        <v>8</v>
      </c>
      <c r="Z9" s="10" t="str">
        <f aca="false">C9&amp;"|"&amp;Y9</f>
        <v>Abha Qatar|8</v>
      </c>
      <c r="AA9" s="20" t="n">
        <f aca="false">O9-V9</f>
        <v>-7.10000000000001</v>
      </c>
      <c r="AB9" s="10" t="str">
        <f aca="false">INDEX(Horse_Profile!$Q$2:$Q$41,MATCH($A9,Horse_Profile!$A$2:$A$41,0))</f>
        <v>Sex/age mismatch</v>
      </c>
    </row>
    <row r="10" customFormat="false" ht="15" hidden="false" customHeight="false" outlineLevel="0" collapsed="false">
      <c r="A10" s="10" t="s">
        <v>180</v>
      </c>
      <c r="B10" s="10" t="str">
        <f aca="false">INDEX(Horse_Profile!$B$2:$B$41,MATCH($A10,Horse_Profile!$A$2:$A$41,0))</f>
        <v>HA Rayan Dream</v>
      </c>
      <c r="C10" s="10" t="str">
        <f aca="false">INDEX(Horse_Profile!$I$2:$I$41,MATCH($A10,Horse_Profile!$A$2:$A$41,0))</f>
        <v>Pogrom</v>
      </c>
      <c r="D10" s="10" t="str">
        <f aca="false">INDEX(Horse_Profile!$K$2:$K$41,MATCH($A10,Horse_Profile!$A$2:$A$41,0))</f>
        <v>Versace</v>
      </c>
      <c r="E10" s="10" t="str">
        <f aca="false">INDEX(Horse_Profile!$D$2:$D$41,MATCH($A10,Horse_Profile!$A$2:$A$41,0))</f>
        <v>Colt</v>
      </c>
      <c r="F10" s="10" t="str">
        <f aca="false">INDEX(Horse_Profile!$F$2:$F$41,MATCH($A10,Horse_Profile!$A$2:$A$41,0))</f>
        <v>Junior</v>
      </c>
      <c r="G10" s="10" t="str">
        <f aca="false">INDEX(Horse_Profile!$L$2:$L$41,MATCH($A10,Horse_Profile!$A$2:$A$41,0))</f>
        <v>Polish/International</v>
      </c>
      <c r="H10" s="10" t="str">
        <f aca="false">INDEX(Horse_Profile!$M$2:$M$41,MATCH($A10,Horse_Profile!$A$2:$A$41,0))</f>
        <v>Egyptian-influenced</v>
      </c>
      <c r="I10" s="11" t="n">
        <f aca="false">AVERAGEIF(Judge_Scores!$B$2:$B$121,$A10,Judge_Scores!$E$2:$E$121)</f>
        <v>19.2</v>
      </c>
      <c r="J10" s="11" t="n">
        <f aca="false">AVERAGEIF(Judge_Scores!$B$2:$B$121,$A10,Judge_Scores!$F$2:$F$121)</f>
        <v>19.2333333333333</v>
      </c>
      <c r="K10" s="11" t="n">
        <f aca="false">AVERAGEIF(Judge_Scores!$B$2:$B$121,$A10,Judge_Scores!$G$2:$G$121)</f>
        <v>19.0333333333333</v>
      </c>
      <c r="L10" s="11" t="n">
        <f aca="false">AVERAGEIF(Judge_Scores!$B$2:$B$121,$A10,Judge_Scores!$H$2:$H$121)</f>
        <v>18.1666666666667</v>
      </c>
      <c r="M10" s="11" t="n">
        <f aca="false">AVERAGEIF(Judge_Scores!$B$2:$B$121,$A10,Judge_Scores!$I$2:$I$121)</f>
        <v>19.9333333333333</v>
      </c>
      <c r="N10" s="11" t="n">
        <f aca="false">AVERAGEIF(Judge_Scores!$B$2:$B$121,$A10,Judge_Scores!$J$2:$J$121)</f>
        <v>18.3</v>
      </c>
      <c r="O10" s="11" t="n">
        <f aca="false">AVERAGEIF(Judge_Scores!$B$2:$B$121,$A10,Judge_Scores!$K$2:$K$121)</f>
        <v>113.866666666667</v>
      </c>
      <c r="P10" s="11" t="n">
        <f aca="false">_xlfn.MAXIFS(Judge_Scores!$K$2:$K$121,Judge_Scores!$B$2:$B$121,$A10)-_xlfn.MINIFS(Judge_Scores!$K$2:$K$121,Judge_Scores!$B$2:$B$121,$A10)</f>
        <v>5.90000000000001</v>
      </c>
      <c r="Q10" s="10" t="n">
        <f aca="false">RANK(O10,$O$2:$O$41,0)</f>
        <v>3</v>
      </c>
      <c r="R10" s="10" t="n">
        <f aca="false">Q10+COUNTIF($O$2:O10,O10)-1</f>
        <v>3</v>
      </c>
      <c r="S10" s="10" t="str">
        <f aca="false">IF(O10&gt;=Settings!$B$8,"Elite",IF(O10&gt;=Settings!$B$9,"High",IF(O10&gt;=Settings!$B$10,"Developing","Needs Review")))</f>
        <v>Elite</v>
      </c>
      <c r="T10" s="10" t="str">
        <f aca="false">INDEX($I$1:$N$1,MATCH(MAX(I10:N10),I10:N10,0))</f>
        <v>Movement</v>
      </c>
      <c r="U10" s="10" t="str">
        <f aca="false">INDEX($I$1:$N$1,MATCH(MIN(I10:N10),I10:N10,0))</f>
        <v>Legs</v>
      </c>
      <c r="V10" s="28" t="n">
        <f aca="false">INDEX(Parent_Reference!$D$2:$D$16,MATCH(C10,Parent_Reference!$A$2:$A$16,0))</f>
        <v>112.7</v>
      </c>
      <c r="W10" s="28" t="n">
        <f aca="false">INDEX(Parent_Reference!$D$2:$D$16,MATCH(D10,Parent_Reference!$A$2:$A$16,0))</f>
        <v>106.3</v>
      </c>
      <c r="X10" s="11" t="n">
        <f aca="false">AVERAGE(V10:W10)</f>
        <v>109.5</v>
      </c>
      <c r="Y10" s="10" t="n">
        <f aca="false">COUNTIFS($C$2:$C$41,C10,$O$2:$O$41,"&gt;"&amp;O10)+1</f>
        <v>3</v>
      </c>
      <c r="Z10" s="10" t="str">
        <f aca="false">C10&amp;"|"&amp;Y10</f>
        <v>Pogrom|3</v>
      </c>
      <c r="AA10" s="20" t="n">
        <f aca="false">O10-V10</f>
        <v>1.16666666666667</v>
      </c>
      <c r="AB10" s="10" t="str">
        <f aca="false">INDEX(Horse_Profile!$Q$2:$Q$41,MATCH($A10,Horse_Profile!$A$2:$A$41,0))</f>
        <v/>
      </c>
    </row>
    <row r="11" customFormat="false" ht="15" hidden="false" customHeight="false" outlineLevel="0" collapsed="false">
      <c r="A11" s="10" t="s">
        <v>185</v>
      </c>
      <c r="B11" s="10" t="str">
        <f aca="false">INDEX(Horse_Profile!$B$2:$B$41,MATCH($A11,Horse_Profile!$A$2:$A$41,0))</f>
        <v>HA Sahara Desert Rose</v>
      </c>
      <c r="C11" s="10" t="str">
        <f aca="false">INDEX(Horse_Profile!$I$2:$I$41,MATCH($A11,Horse_Profile!$A$2:$A$41,0))</f>
        <v>Titan AS</v>
      </c>
      <c r="D11" s="10" t="str">
        <f aca="false">INDEX(Horse_Profile!$K$2:$K$41,MATCH($A11,Horse_Profile!$A$2:$A$41,0))</f>
        <v>Ali Jamaal</v>
      </c>
      <c r="E11" s="10" t="str">
        <f aca="false">INDEX(Horse_Profile!$D$2:$D$41,MATCH($A11,Horse_Profile!$A$2:$A$41,0))</f>
        <v>Mare</v>
      </c>
      <c r="F11" s="10" t="str">
        <f aca="false">INDEX(Horse_Profile!$F$2:$F$41,MATCH($A11,Horse_Profile!$A$2:$A$41,0))</f>
        <v>Junior</v>
      </c>
      <c r="G11" s="10" t="str">
        <f aca="false">INDEX(Horse_Profile!$L$2:$L$41,MATCH($A11,Horse_Profile!$A$2:$A$41,0))</f>
        <v>American/International</v>
      </c>
      <c r="H11" s="10" t="str">
        <f aca="false">INDEX(Horse_Profile!$M$2:$M$41,MATCH($A11,Horse_Profile!$A$2:$A$41,0))</f>
        <v>Egyptian-influenced</v>
      </c>
      <c r="I11" s="11" t="n">
        <f aca="false">AVERAGEIF(Judge_Scores!$B$2:$B$121,$A11,Judge_Scores!$E$2:$E$121)</f>
        <v>17.5333333333333</v>
      </c>
      <c r="J11" s="11" t="n">
        <f aca="false">AVERAGEIF(Judge_Scores!$B$2:$B$121,$A11,Judge_Scores!$F$2:$F$121)</f>
        <v>16.7</v>
      </c>
      <c r="K11" s="11" t="n">
        <f aca="false">AVERAGEIF(Judge_Scores!$B$2:$B$121,$A11,Judge_Scores!$G$2:$G$121)</f>
        <v>18.2</v>
      </c>
      <c r="L11" s="11" t="n">
        <f aca="false">AVERAGEIF(Judge_Scores!$B$2:$B$121,$A11,Judge_Scores!$H$2:$H$121)</f>
        <v>17.3666666666667</v>
      </c>
      <c r="M11" s="11" t="n">
        <f aca="false">AVERAGEIF(Judge_Scores!$B$2:$B$121,$A11,Judge_Scores!$I$2:$I$121)</f>
        <v>17.2666666666667</v>
      </c>
      <c r="N11" s="11" t="n">
        <f aca="false">AVERAGEIF(Judge_Scores!$B$2:$B$121,$A11,Judge_Scores!$J$2:$J$121)</f>
        <v>17.5666666666667</v>
      </c>
      <c r="O11" s="11" t="n">
        <f aca="false">AVERAGEIF(Judge_Scores!$B$2:$B$121,$A11,Judge_Scores!$K$2:$K$121)</f>
        <v>104.633333333333</v>
      </c>
      <c r="P11" s="11" t="n">
        <f aca="false">_xlfn.MAXIFS(Judge_Scores!$K$2:$K$121,Judge_Scores!$B$2:$B$121,$A11)-_xlfn.MINIFS(Judge_Scores!$K$2:$K$121,Judge_Scores!$B$2:$B$121,$A11)</f>
        <v>5.5</v>
      </c>
      <c r="Q11" s="10" t="n">
        <f aca="false">RANK(O11,$O$2:$O$41,0)</f>
        <v>37</v>
      </c>
      <c r="R11" s="10" t="n">
        <f aca="false">Q11+COUNTIF($O$2:O11,O11)-1</f>
        <v>37</v>
      </c>
      <c r="S11" s="10" t="str">
        <f aca="false">IF(O11&gt;=Settings!$B$8,"Elite",IF(O11&gt;=Settings!$B$9,"High",IF(O11&gt;=Settings!$B$10,"Developing","Needs Review")))</f>
        <v>Developing</v>
      </c>
      <c r="T11" s="10" t="str">
        <f aca="false">INDEX($I$1:$N$1,MATCH(MAX(I11:N11),I11:N11,0))</f>
        <v>Body_Topline</v>
      </c>
      <c r="U11" s="10" t="str">
        <f aca="false">INDEX($I$1:$N$1,MATCH(MIN(I11:N11),I11:N11,0))</f>
        <v>Head_Neck</v>
      </c>
      <c r="V11" s="28" t="n">
        <f aca="false">INDEX(Parent_Reference!$D$2:$D$16,MATCH(C11,Parent_Reference!$A$2:$A$16,0))</f>
        <v>111.3</v>
      </c>
      <c r="W11" s="28" t="n">
        <f aca="false">INDEX(Parent_Reference!$D$2:$D$16,MATCH(D11,Parent_Reference!$A$2:$A$16,0))</f>
        <v>109.7</v>
      </c>
      <c r="X11" s="11" t="n">
        <f aca="false">AVERAGE(V11:W11)</f>
        <v>110.5</v>
      </c>
      <c r="Y11" s="10" t="n">
        <f aca="false">COUNTIFS($C$2:$C$41,C11,$O$2:$O$41,"&gt;"&amp;O11)+1</f>
        <v>4</v>
      </c>
      <c r="Z11" s="10" t="str">
        <f aca="false">C11&amp;"|"&amp;Y11</f>
        <v>Titan AS|4</v>
      </c>
      <c r="AA11" s="20" t="n">
        <f aca="false">O11-V11</f>
        <v>-6.66666666666667</v>
      </c>
      <c r="AB11" s="10" t="str">
        <f aca="false">INDEX(Horse_Profile!$Q$2:$Q$41,MATCH($A11,Horse_Profile!$A$2:$A$41,0))</f>
        <v>Sex/age mismatch</v>
      </c>
    </row>
    <row r="12" customFormat="false" ht="15" hidden="false" customHeight="false" outlineLevel="0" collapsed="false">
      <c r="A12" s="10" t="s">
        <v>191</v>
      </c>
      <c r="B12" s="10" t="str">
        <f aca="false">INDEX(Horse_Profile!$B$2:$B$41,MATCH($A12,Horse_Profile!$A$2:$A$41,0))</f>
        <v>HA Amani Moonlight</v>
      </c>
      <c r="C12" s="10" t="str">
        <f aca="false">INDEX(Horse_Profile!$I$2:$I$41,MATCH($A12,Horse_Profile!$A$2:$A$41,0))</f>
        <v>Van Gogh AM</v>
      </c>
      <c r="D12" s="10" t="str">
        <f aca="false">INDEX(Horse_Profile!$K$2:$K$41,MATCH($A12,Horse_Profile!$A$2:$A$41,0))</f>
        <v>Padron</v>
      </c>
      <c r="E12" s="10" t="str">
        <f aca="false">INDEX(Horse_Profile!$D$2:$D$41,MATCH($A12,Horse_Profile!$A$2:$A$41,0))</f>
        <v>Stallion</v>
      </c>
      <c r="F12" s="10" t="str">
        <f aca="false">INDEX(Horse_Profile!$F$2:$F$41,MATCH($A12,Horse_Profile!$A$2:$A$41,0))</f>
        <v>Mature</v>
      </c>
      <c r="G12" s="10" t="str">
        <f aca="false">INDEX(Horse_Profile!$L$2:$L$41,MATCH($A12,Horse_Profile!$A$2:$A$41,0))</f>
        <v>Brazilian/International</v>
      </c>
      <c r="H12" s="10" t="str">
        <f aca="false">INDEX(Horse_Profile!$M$2:$M$41,MATCH($A12,Horse_Profile!$A$2:$A$41,0))</f>
        <v>Spanish</v>
      </c>
      <c r="I12" s="11" t="n">
        <f aca="false">AVERAGEIF(Judge_Scores!$B$2:$B$121,$A12,Judge_Scores!$E$2:$E$121)</f>
        <v>17.5333333333333</v>
      </c>
      <c r="J12" s="11" t="n">
        <f aca="false">AVERAGEIF(Judge_Scores!$B$2:$B$121,$A12,Judge_Scores!$F$2:$F$121)</f>
        <v>18.6666666666667</v>
      </c>
      <c r="K12" s="11" t="n">
        <f aca="false">AVERAGEIF(Judge_Scores!$B$2:$B$121,$A12,Judge_Scores!$G$2:$G$121)</f>
        <v>18.3666666666667</v>
      </c>
      <c r="L12" s="11" t="n">
        <f aca="false">AVERAGEIF(Judge_Scores!$B$2:$B$121,$A12,Judge_Scores!$H$2:$H$121)</f>
        <v>17.8666666666667</v>
      </c>
      <c r="M12" s="11" t="n">
        <f aca="false">AVERAGEIF(Judge_Scores!$B$2:$B$121,$A12,Judge_Scores!$I$2:$I$121)</f>
        <v>18.7333333333333</v>
      </c>
      <c r="N12" s="11" t="n">
        <f aca="false">AVERAGEIF(Judge_Scores!$B$2:$B$121,$A12,Judge_Scores!$J$2:$J$121)</f>
        <v>16.9666666666667</v>
      </c>
      <c r="O12" s="11" t="n">
        <f aca="false">AVERAGEIF(Judge_Scores!$B$2:$B$121,$A12,Judge_Scores!$K$2:$K$121)</f>
        <v>108.133333333333</v>
      </c>
      <c r="P12" s="11" t="n">
        <f aca="false">_xlfn.MAXIFS(Judge_Scores!$K$2:$K$121,Judge_Scores!$B$2:$B$121,$A12)-_xlfn.MINIFS(Judge_Scores!$K$2:$K$121,Judge_Scores!$B$2:$B$121,$A12)</f>
        <v>4.2</v>
      </c>
      <c r="Q12" s="10" t="n">
        <f aca="false">RANK(O12,$O$2:$O$41,0)</f>
        <v>29</v>
      </c>
      <c r="R12" s="10" t="n">
        <f aca="false">Q12+COUNTIF($O$2:O12,O12)-1</f>
        <v>29</v>
      </c>
      <c r="S12" s="10" t="str">
        <f aca="false">IF(O12&gt;=Settings!$B$8,"Elite",IF(O12&gt;=Settings!$B$9,"High",IF(O12&gt;=Settings!$B$10,"Developing","Needs Review")))</f>
        <v>High</v>
      </c>
      <c r="T12" s="10" t="str">
        <f aca="false">INDEX($I$1:$N$1,MATCH(MAX(I12:N12),I12:N12,0))</f>
        <v>Movement</v>
      </c>
      <c r="U12" s="10" t="str">
        <f aca="false">INDEX($I$1:$N$1,MATCH(MIN(I12:N12),I12:N12,0))</f>
        <v>Balance</v>
      </c>
      <c r="V12" s="28" t="n">
        <f aca="false">INDEX(Parent_Reference!$D$2:$D$16,MATCH(C12,Parent_Reference!$A$2:$A$16,0))</f>
        <v>111.7</v>
      </c>
      <c r="W12" s="28" t="n">
        <f aca="false">INDEX(Parent_Reference!$D$2:$D$16,MATCH(D12,Parent_Reference!$A$2:$A$16,0))</f>
        <v>112</v>
      </c>
      <c r="X12" s="11" t="n">
        <f aca="false">AVERAGE(V12:W12)</f>
        <v>111.85</v>
      </c>
      <c r="Y12" s="10" t="n">
        <f aca="false">COUNTIFS($C$2:$C$41,C12,$O$2:$O$41,"&gt;"&amp;O12)+1</f>
        <v>5</v>
      </c>
      <c r="Z12" s="10" t="str">
        <f aca="false">C12&amp;"|"&amp;Y12</f>
        <v>Van Gogh AM|5</v>
      </c>
      <c r="AA12" s="20" t="n">
        <f aca="false">O12-V12</f>
        <v>-3.56666666666668</v>
      </c>
      <c r="AB12" s="10" t="str">
        <f aca="false">INDEX(Horse_Profile!$Q$2:$Q$41,MATCH($A12,Horse_Profile!$A$2:$A$41,0))</f>
        <v/>
      </c>
    </row>
    <row r="13" customFormat="false" ht="15" hidden="false" customHeight="false" outlineLevel="0" collapsed="false">
      <c r="A13" s="10" t="s">
        <v>198</v>
      </c>
      <c r="B13" s="10" t="str">
        <f aca="false">INDEX(Horse_Profile!$B$2:$B$41,MATCH($A13,Horse_Profile!$A$2:$A$41,0))</f>
        <v>HA Kareem Amethyst</v>
      </c>
      <c r="C13" s="10" t="str">
        <f aca="false">INDEX(Horse_Profile!$I$2:$I$41,MATCH($A13,Horse_Profile!$A$2:$A$41,0))</f>
        <v>Titan AS</v>
      </c>
      <c r="D13" s="10" t="str">
        <f aca="false">INDEX(Horse_Profile!$K$2:$K$41,MATCH($A13,Horse_Profile!$A$2:$A$41,0))</f>
        <v>Padron</v>
      </c>
      <c r="E13" s="10" t="str">
        <f aca="false">INDEX(Horse_Profile!$D$2:$D$41,MATCH($A13,Horse_Profile!$A$2:$A$41,0))</f>
        <v>Gelding</v>
      </c>
      <c r="F13" s="10" t="str">
        <f aca="false">INDEX(Horse_Profile!$F$2:$F$41,MATCH($A13,Horse_Profile!$A$2:$A$41,0))</f>
        <v>Junior</v>
      </c>
      <c r="G13" s="10" t="str">
        <f aca="false">INDEX(Horse_Profile!$L$2:$L$41,MATCH($A13,Horse_Profile!$A$2:$A$41,0))</f>
        <v>American/International</v>
      </c>
      <c r="H13" s="10" t="str">
        <f aca="false">INDEX(Horse_Profile!$M$2:$M$41,MATCH($A13,Horse_Profile!$A$2:$A$41,0))</f>
        <v>Egyptian-influenced</v>
      </c>
      <c r="I13" s="11" t="n">
        <f aca="false">AVERAGEIF(Judge_Scores!$B$2:$B$121,$A13,Judge_Scores!$E$2:$E$121)</f>
        <v>17.7333333333333</v>
      </c>
      <c r="J13" s="11" t="n">
        <f aca="false">AVERAGEIF(Judge_Scores!$B$2:$B$121,$A13,Judge_Scores!$F$2:$F$121)</f>
        <v>16.0333333333333</v>
      </c>
      <c r="K13" s="11" t="n">
        <f aca="false">AVERAGEIF(Judge_Scores!$B$2:$B$121,$A13,Judge_Scores!$G$2:$G$121)</f>
        <v>18</v>
      </c>
      <c r="L13" s="11" t="n">
        <f aca="false">AVERAGEIF(Judge_Scores!$B$2:$B$121,$A13,Judge_Scores!$H$2:$H$121)</f>
        <v>18.3</v>
      </c>
      <c r="M13" s="11" t="n">
        <f aca="false">AVERAGEIF(Judge_Scores!$B$2:$B$121,$A13,Judge_Scores!$I$2:$I$121)</f>
        <v>16.1333333333333</v>
      </c>
      <c r="N13" s="11" t="n">
        <f aca="false">AVERAGEIF(Judge_Scores!$B$2:$B$121,$A13,Judge_Scores!$J$2:$J$121)</f>
        <v>17.2666666666667</v>
      </c>
      <c r="O13" s="11" t="n">
        <f aca="false">AVERAGEIF(Judge_Scores!$B$2:$B$121,$A13,Judge_Scores!$K$2:$K$121)</f>
        <v>103.466666666667</v>
      </c>
      <c r="P13" s="11" t="n">
        <f aca="false">_xlfn.MAXIFS(Judge_Scores!$K$2:$K$121,Judge_Scores!$B$2:$B$121,$A13)-_xlfn.MINIFS(Judge_Scores!$K$2:$K$121,Judge_Scores!$B$2:$B$121,$A13)</f>
        <v>0.599999999999994</v>
      </c>
      <c r="Q13" s="10" t="n">
        <f aca="false">RANK(O13,$O$2:$O$41,0)</f>
        <v>39</v>
      </c>
      <c r="R13" s="10" t="n">
        <f aca="false">Q13+COUNTIF($O$2:O13,O13)-1</f>
        <v>40</v>
      </c>
      <c r="S13" s="10" t="str">
        <f aca="false">IF(O13&gt;=Settings!$B$8,"Elite",IF(O13&gt;=Settings!$B$9,"High",IF(O13&gt;=Settings!$B$10,"Developing","Needs Review")))</f>
        <v>Developing</v>
      </c>
      <c r="T13" s="10" t="str">
        <f aca="false">INDEX($I$1:$N$1,MATCH(MAX(I13:N13),I13:N13,0))</f>
        <v>Legs</v>
      </c>
      <c r="U13" s="10" t="str">
        <f aca="false">INDEX($I$1:$N$1,MATCH(MIN(I13:N13),I13:N13,0))</f>
        <v>Head_Neck</v>
      </c>
      <c r="V13" s="28" t="n">
        <f aca="false">INDEX(Parent_Reference!$D$2:$D$16,MATCH(C13,Parent_Reference!$A$2:$A$16,0))</f>
        <v>111.3</v>
      </c>
      <c r="W13" s="28" t="n">
        <f aca="false">INDEX(Parent_Reference!$D$2:$D$16,MATCH(D13,Parent_Reference!$A$2:$A$16,0))</f>
        <v>112</v>
      </c>
      <c r="X13" s="11" t="n">
        <f aca="false">AVERAGE(V13:W13)</f>
        <v>111.65</v>
      </c>
      <c r="Y13" s="10" t="n">
        <f aca="false">COUNTIFS($C$2:$C$41,C13,$O$2:$O$41,"&gt;"&amp;O13)+1</f>
        <v>6</v>
      </c>
      <c r="Z13" s="10" t="str">
        <f aca="false">C13&amp;"|"&amp;Y13</f>
        <v>Titan AS|6</v>
      </c>
      <c r="AA13" s="20" t="n">
        <f aca="false">O13-V13</f>
        <v>-7.83333333333334</v>
      </c>
      <c r="AB13" s="10" t="str">
        <f aca="false">INDEX(Horse_Profile!$Q$2:$Q$41,MATCH($A13,Horse_Profile!$A$2:$A$41,0))</f>
        <v/>
      </c>
    </row>
    <row r="14" customFormat="false" ht="15" hidden="false" customHeight="false" outlineLevel="0" collapsed="false">
      <c r="A14" s="10" t="s">
        <v>203</v>
      </c>
      <c r="B14" s="10" t="str">
        <f aca="false">INDEX(Horse_Profile!$B$2:$B$41,MATCH($A14,Horse_Profile!$A$2:$A$41,0))</f>
        <v>HA Jasmine Sundance</v>
      </c>
      <c r="C14" s="10" t="str">
        <f aca="false">INDEX(Horse_Profile!$I$2:$I$41,MATCH($A14,Horse_Profile!$A$2:$A$41,0))</f>
        <v>Van Gogh AM</v>
      </c>
      <c r="D14" s="10" t="str">
        <f aca="false">INDEX(Horse_Profile!$K$2:$K$41,MATCH($A14,Horse_Profile!$A$2:$A$41,0))</f>
        <v>Ali Jamaal</v>
      </c>
      <c r="E14" s="10" t="str">
        <f aca="false">INDEX(Horse_Profile!$D$2:$D$41,MATCH($A14,Horse_Profile!$A$2:$A$41,0))</f>
        <v>Mare</v>
      </c>
      <c r="F14" s="10" t="str">
        <f aca="false">INDEX(Horse_Profile!$F$2:$F$41,MATCH($A14,Horse_Profile!$A$2:$A$41,0))</f>
        <v>Junior</v>
      </c>
      <c r="G14" s="10" t="str">
        <f aca="false">INDEX(Horse_Profile!$L$2:$L$41,MATCH($A14,Horse_Profile!$A$2:$A$41,0))</f>
        <v>Brazilian/International</v>
      </c>
      <c r="H14" s="10" t="str">
        <f aca="false">INDEX(Horse_Profile!$M$2:$M$41,MATCH($A14,Horse_Profile!$A$2:$A$41,0))</f>
        <v>Polish</v>
      </c>
      <c r="I14" s="11" t="n">
        <f aca="false">AVERAGEIF(Judge_Scores!$B$2:$B$121,$A14,Judge_Scores!$E$2:$E$121)</f>
        <v>16.8333333333333</v>
      </c>
      <c r="J14" s="11" t="n">
        <f aca="false">AVERAGEIF(Judge_Scores!$B$2:$B$121,$A14,Judge_Scores!$F$2:$F$121)</f>
        <v>18.5</v>
      </c>
      <c r="K14" s="11" t="n">
        <f aca="false">AVERAGEIF(Judge_Scores!$B$2:$B$121,$A14,Judge_Scores!$G$2:$G$121)</f>
        <v>17.7666666666667</v>
      </c>
      <c r="L14" s="11" t="n">
        <f aca="false">AVERAGEIF(Judge_Scores!$B$2:$B$121,$A14,Judge_Scores!$H$2:$H$121)</f>
        <v>16.8666666666667</v>
      </c>
      <c r="M14" s="11" t="n">
        <f aca="false">AVERAGEIF(Judge_Scores!$B$2:$B$121,$A14,Judge_Scores!$I$2:$I$121)</f>
        <v>18.4</v>
      </c>
      <c r="N14" s="11" t="n">
        <f aca="false">AVERAGEIF(Judge_Scores!$B$2:$B$121,$A14,Judge_Scores!$J$2:$J$121)</f>
        <v>18.4666666666667</v>
      </c>
      <c r="O14" s="11" t="n">
        <f aca="false">AVERAGEIF(Judge_Scores!$B$2:$B$121,$A14,Judge_Scores!$K$2:$K$121)</f>
        <v>106.833333333333</v>
      </c>
      <c r="P14" s="11" t="n">
        <f aca="false">_xlfn.MAXIFS(Judge_Scores!$K$2:$K$121,Judge_Scores!$B$2:$B$121,$A14)-_xlfn.MINIFS(Judge_Scores!$K$2:$K$121,Judge_Scores!$B$2:$B$121,$A14)</f>
        <v>3.50000000000001</v>
      </c>
      <c r="Q14" s="10" t="n">
        <f aca="false">RANK(O14,$O$2:$O$41,0)</f>
        <v>34</v>
      </c>
      <c r="R14" s="10" t="n">
        <f aca="false">Q14+COUNTIF($O$2:O14,O14)-1</f>
        <v>34</v>
      </c>
      <c r="S14" s="10" t="str">
        <f aca="false">IF(O14&gt;=Settings!$B$8,"Elite",IF(O14&gt;=Settings!$B$9,"High",IF(O14&gt;=Settings!$B$10,"Developing","Needs Review")))</f>
        <v>High</v>
      </c>
      <c r="T14" s="10" t="str">
        <f aca="false">INDEX($I$1:$N$1,MATCH(MAX(I14:N14),I14:N14,0))</f>
        <v>Head_Neck</v>
      </c>
      <c r="U14" s="10" t="str">
        <f aca="false">INDEX($I$1:$N$1,MATCH(MIN(I14:N14),I14:N14,0))</f>
        <v>Type</v>
      </c>
      <c r="V14" s="28" t="n">
        <f aca="false">INDEX(Parent_Reference!$D$2:$D$16,MATCH(C14,Parent_Reference!$A$2:$A$16,0))</f>
        <v>111.7</v>
      </c>
      <c r="W14" s="28" t="n">
        <f aca="false">INDEX(Parent_Reference!$D$2:$D$16,MATCH(D14,Parent_Reference!$A$2:$A$16,0))</f>
        <v>109.7</v>
      </c>
      <c r="X14" s="11" t="n">
        <f aca="false">AVERAGE(V14:W14)</f>
        <v>110.7</v>
      </c>
      <c r="Y14" s="10" t="n">
        <f aca="false">COUNTIFS($C$2:$C$41,C14,$O$2:$O$41,"&gt;"&amp;O14)+1</f>
        <v>8</v>
      </c>
      <c r="Z14" s="10" t="str">
        <f aca="false">C14&amp;"|"&amp;Y14</f>
        <v>Van Gogh AM|8</v>
      </c>
      <c r="AA14" s="20" t="n">
        <f aca="false">O14-V14</f>
        <v>-4.86666666666667</v>
      </c>
      <c r="AB14" s="10" t="str">
        <f aca="false">INDEX(Horse_Profile!$Q$2:$Q$41,MATCH($A14,Horse_Profile!$A$2:$A$41,0))</f>
        <v>Sex/age mismatch</v>
      </c>
    </row>
    <row r="15" customFormat="false" ht="15" hidden="false" customHeight="false" outlineLevel="0" collapsed="false">
      <c r="A15" s="10" t="s">
        <v>209</v>
      </c>
      <c r="B15" s="10" t="str">
        <f aca="false">INDEX(Horse_Profile!$B$2:$B$41,MATCH($A15,Horse_Profile!$A$2:$A$41,0))</f>
        <v>HA Samir Moonlight</v>
      </c>
      <c r="C15" s="10" t="str">
        <f aca="false">INDEX(Horse_Profile!$I$2:$I$41,MATCH($A15,Horse_Profile!$A$2:$A$41,0))</f>
        <v>Van Gogh AM</v>
      </c>
      <c r="D15" s="10" t="str">
        <f aca="false">INDEX(Horse_Profile!$K$2:$K$41,MATCH($A15,Horse_Profile!$A$2:$A$41,0))</f>
        <v>Versace</v>
      </c>
      <c r="E15" s="10" t="str">
        <f aca="false">INDEX(Horse_Profile!$D$2:$D$41,MATCH($A15,Horse_Profile!$A$2:$A$41,0))</f>
        <v>Filly</v>
      </c>
      <c r="F15" s="10" t="str">
        <f aca="false">INDEX(Horse_Profile!$F$2:$F$41,MATCH($A15,Horse_Profile!$A$2:$A$41,0))</f>
        <v>Junior</v>
      </c>
      <c r="G15" s="10" t="str">
        <f aca="false">INDEX(Horse_Profile!$L$2:$L$41,MATCH($A15,Horse_Profile!$A$2:$A$41,0))</f>
        <v>Brazilian/International</v>
      </c>
      <c r="H15" s="10" t="str">
        <f aca="false">INDEX(Horse_Profile!$M$2:$M$41,MATCH($A15,Horse_Profile!$A$2:$A$41,0))</f>
        <v>Domestic</v>
      </c>
      <c r="I15" s="11" t="n">
        <f aca="false">AVERAGEIF(Judge_Scores!$B$2:$B$121,$A15,Judge_Scores!$E$2:$E$121)</f>
        <v>19.0666666666667</v>
      </c>
      <c r="J15" s="11" t="n">
        <f aca="false">AVERAGEIF(Judge_Scores!$B$2:$B$121,$A15,Judge_Scores!$F$2:$F$121)</f>
        <v>18.4</v>
      </c>
      <c r="K15" s="11" t="n">
        <f aca="false">AVERAGEIF(Judge_Scores!$B$2:$B$121,$A15,Judge_Scores!$G$2:$G$121)</f>
        <v>18.1333333333333</v>
      </c>
      <c r="L15" s="11" t="n">
        <f aca="false">AVERAGEIF(Judge_Scores!$B$2:$B$121,$A15,Judge_Scores!$H$2:$H$121)</f>
        <v>17.6333333333333</v>
      </c>
      <c r="M15" s="11" t="n">
        <f aca="false">AVERAGEIF(Judge_Scores!$B$2:$B$121,$A15,Judge_Scores!$I$2:$I$121)</f>
        <v>16.3666666666667</v>
      </c>
      <c r="N15" s="11" t="n">
        <f aca="false">AVERAGEIF(Judge_Scores!$B$2:$B$121,$A15,Judge_Scores!$J$2:$J$121)</f>
        <v>18.2333333333333</v>
      </c>
      <c r="O15" s="11" t="n">
        <f aca="false">AVERAGEIF(Judge_Scores!$B$2:$B$121,$A15,Judge_Scores!$K$2:$K$121)</f>
        <v>107.833333333333</v>
      </c>
      <c r="P15" s="11" t="n">
        <f aca="false">_xlfn.MAXIFS(Judge_Scores!$K$2:$K$121,Judge_Scores!$B$2:$B$121,$A15)-_xlfn.MINIFS(Judge_Scores!$K$2:$K$121,Judge_Scores!$B$2:$B$121,$A15)</f>
        <v>5.59999999999998</v>
      </c>
      <c r="Q15" s="10" t="n">
        <f aca="false">RANK(O15,$O$2:$O$41,0)</f>
        <v>31</v>
      </c>
      <c r="R15" s="10" t="n">
        <f aca="false">Q15+COUNTIF($O$2:O15,O15)-1</f>
        <v>31</v>
      </c>
      <c r="S15" s="10" t="str">
        <f aca="false">IF(O15&gt;=Settings!$B$8,"Elite",IF(O15&gt;=Settings!$B$9,"High",IF(O15&gt;=Settings!$B$10,"Developing","Needs Review")))</f>
        <v>High</v>
      </c>
      <c r="T15" s="10" t="str">
        <f aca="false">INDEX($I$1:$N$1,MATCH(MAX(I15:N15),I15:N15,0))</f>
        <v>Type</v>
      </c>
      <c r="U15" s="10" t="str">
        <f aca="false">INDEX($I$1:$N$1,MATCH(MIN(I15:N15),I15:N15,0))</f>
        <v>Movement</v>
      </c>
      <c r="V15" s="28" t="n">
        <f aca="false">INDEX(Parent_Reference!$D$2:$D$16,MATCH(C15,Parent_Reference!$A$2:$A$16,0))</f>
        <v>111.7</v>
      </c>
      <c r="W15" s="28" t="n">
        <f aca="false">INDEX(Parent_Reference!$D$2:$D$16,MATCH(D15,Parent_Reference!$A$2:$A$16,0))</f>
        <v>106.3</v>
      </c>
      <c r="X15" s="11" t="n">
        <f aca="false">AVERAGE(V15:W15)</f>
        <v>109</v>
      </c>
      <c r="Y15" s="10" t="n">
        <f aca="false">COUNTIFS($C$2:$C$41,C15,$O$2:$O$41,"&gt;"&amp;O15)+1</f>
        <v>7</v>
      </c>
      <c r="Z15" s="10" t="str">
        <f aca="false">C15&amp;"|"&amp;Y15</f>
        <v>Van Gogh AM|7</v>
      </c>
      <c r="AA15" s="20" t="n">
        <f aca="false">O15-V15</f>
        <v>-3.86666666666667</v>
      </c>
      <c r="AB15" s="10" t="str">
        <f aca="false">INDEX(Horse_Profile!$Q$2:$Q$41,MATCH($A15,Horse_Profile!$A$2:$A$41,0))</f>
        <v/>
      </c>
    </row>
    <row r="16" customFormat="false" ht="15" hidden="false" customHeight="false" outlineLevel="0" collapsed="false">
      <c r="A16" s="10" t="s">
        <v>214</v>
      </c>
      <c r="B16" s="10" t="str">
        <f aca="false">INDEX(Horse_Profile!$B$2:$B$41,MATCH($A16,Horse_Profile!$A$2:$A$41,0))</f>
        <v>HA Zara Marquis</v>
      </c>
      <c r="C16" s="10" t="str">
        <f aca="false">INDEX(Horse_Profile!$I$2:$I$41,MATCH($A16,Horse_Profile!$A$2:$A$41,0))</f>
        <v>Abha Qatar</v>
      </c>
      <c r="D16" s="10" t="str">
        <f aca="false">INDEX(Horse_Profile!$K$2:$K$41,MATCH($A16,Horse_Profile!$A$2:$A$41,0))</f>
        <v>Padron</v>
      </c>
      <c r="E16" s="10" t="str">
        <f aca="false">INDEX(Horse_Profile!$D$2:$D$41,MATCH($A16,Horse_Profile!$A$2:$A$41,0))</f>
        <v>Stallion</v>
      </c>
      <c r="F16" s="10" t="str">
        <f aca="false">INDEX(Horse_Profile!$F$2:$F$41,MATCH($A16,Horse_Profile!$A$2:$A$41,0))</f>
        <v>Mature</v>
      </c>
      <c r="G16" s="10" t="str">
        <f aca="false">INDEX(Horse_Profile!$L$2:$L$41,MATCH($A16,Horse_Profile!$A$2:$A$41,0))</f>
        <v>Qatari/Spanish</v>
      </c>
      <c r="H16" s="10" t="str">
        <f aca="false">INDEX(Horse_Profile!$M$2:$M$41,MATCH($A16,Horse_Profile!$A$2:$A$41,0))</f>
        <v>Polish</v>
      </c>
      <c r="I16" s="11" t="n">
        <f aca="false">AVERAGEIF(Judge_Scores!$B$2:$B$121,$A16,Judge_Scores!$E$2:$E$121)</f>
        <v>18.6</v>
      </c>
      <c r="J16" s="11" t="n">
        <f aca="false">AVERAGEIF(Judge_Scores!$B$2:$B$121,$A16,Judge_Scores!$F$2:$F$121)</f>
        <v>19.2333333333333</v>
      </c>
      <c r="K16" s="11" t="n">
        <f aca="false">AVERAGEIF(Judge_Scores!$B$2:$B$121,$A16,Judge_Scores!$G$2:$G$121)</f>
        <v>17.9</v>
      </c>
      <c r="L16" s="11" t="n">
        <f aca="false">AVERAGEIF(Judge_Scores!$B$2:$B$121,$A16,Judge_Scores!$H$2:$H$121)</f>
        <v>17.2333333333333</v>
      </c>
      <c r="M16" s="11" t="n">
        <f aca="false">AVERAGEIF(Judge_Scores!$B$2:$B$121,$A16,Judge_Scores!$I$2:$I$121)</f>
        <v>18</v>
      </c>
      <c r="N16" s="11" t="n">
        <f aca="false">AVERAGEIF(Judge_Scores!$B$2:$B$121,$A16,Judge_Scores!$J$2:$J$121)</f>
        <v>18.1333333333333</v>
      </c>
      <c r="O16" s="11" t="n">
        <f aca="false">AVERAGEIF(Judge_Scores!$B$2:$B$121,$A16,Judge_Scores!$K$2:$K$121)</f>
        <v>109.1</v>
      </c>
      <c r="P16" s="11" t="n">
        <f aca="false">_xlfn.MAXIFS(Judge_Scores!$K$2:$K$121,Judge_Scores!$B$2:$B$121,$A16)-_xlfn.MINIFS(Judge_Scores!$K$2:$K$121,Judge_Scores!$B$2:$B$121,$A16)</f>
        <v>1.7</v>
      </c>
      <c r="Q16" s="10" t="n">
        <f aca="false">RANK(O16,$O$2:$O$41,0)</f>
        <v>27</v>
      </c>
      <c r="R16" s="10" t="n">
        <f aca="false">Q16+COUNTIF($O$2:O16,O16)-1</f>
        <v>27</v>
      </c>
      <c r="S16" s="10" t="str">
        <f aca="false">IF(O16&gt;=Settings!$B$8,"Elite",IF(O16&gt;=Settings!$B$9,"High",IF(O16&gt;=Settings!$B$10,"Developing","Needs Review")))</f>
        <v>High</v>
      </c>
      <c r="T16" s="10" t="str">
        <f aca="false">INDEX($I$1:$N$1,MATCH(MAX(I16:N16),I16:N16,0))</f>
        <v>Head_Neck</v>
      </c>
      <c r="U16" s="10" t="str">
        <f aca="false">INDEX($I$1:$N$1,MATCH(MIN(I16:N16),I16:N16,0))</f>
        <v>Legs</v>
      </c>
      <c r="V16" s="28" t="n">
        <f aca="false">INDEX(Parent_Reference!$D$2:$D$16,MATCH(C16,Parent_Reference!$A$2:$A$16,0))</f>
        <v>112.9</v>
      </c>
      <c r="W16" s="28" t="n">
        <f aca="false">INDEX(Parent_Reference!$D$2:$D$16,MATCH(D16,Parent_Reference!$A$2:$A$16,0))</f>
        <v>112</v>
      </c>
      <c r="X16" s="11" t="n">
        <f aca="false">AVERAGE(V16:W16)</f>
        <v>112.45</v>
      </c>
      <c r="Y16" s="10" t="n">
        <f aca="false">COUNTIFS($C$2:$C$41,C16,$O$2:$O$41,"&gt;"&amp;O16)+1</f>
        <v>5</v>
      </c>
      <c r="Z16" s="10" t="str">
        <f aca="false">C16&amp;"|"&amp;Y16</f>
        <v>Abha Qatar|5</v>
      </c>
      <c r="AA16" s="20" t="n">
        <f aca="false">O16-V16</f>
        <v>-3.8</v>
      </c>
      <c r="AB16" s="10" t="str">
        <f aca="false">INDEX(Horse_Profile!$Q$2:$Q$41,MATCH($A16,Horse_Profile!$A$2:$A$41,0))</f>
        <v/>
      </c>
    </row>
    <row r="17" customFormat="false" ht="15" hidden="false" customHeight="false" outlineLevel="0" collapsed="false">
      <c r="A17" s="10" t="s">
        <v>218</v>
      </c>
      <c r="B17" s="10" t="str">
        <f aca="false">INDEX(Horse_Profile!$B$2:$B$41,MATCH($A17,Horse_Profile!$A$2:$A$41,0))</f>
        <v>HA Farid Royal Flame</v>
      </c>
      <c r="C17" s="10" t="str">
        <f aca="false">INDEX(Horse_Profile!$I$2:$I$41,MATCH($A17,Horse_Profile!$A$2:$A$41,0))</f>
        <v>Cavali by Da Valentio</v>
      </c>
      <c r="D17" s="10" t="str">
        <f aca="false">INDEX(Horse_Profile!$K$2:$K$41,MATCH($A17,Horse_Profile!$A$2:$A$41,0))</f>
        <v>Gazal Al Shaqab</v>
      </c>
      <c r="E17" s="10" t="str">
        <f aca="false">INDEX(Horse_Profile!$D$2:$D$41,MATCH($A17,Horse_Profile!$A$2:$A$41,0))</f>
        <v>Mare</v>
      </c>
      <c r="F17" s="10" t="str">
        <f aca="false">INDEX(Horse_Profile!$F$2:$F$41,MATCH($A17,Horse_Profile!$A$2:$A$41,0))</f>
        <v>Mature</v>
      </c>
      <c r="G17" s="10" t="str">
        <f aca="false">INDEX(Horse_Profile!$L$2:$L$41,MATCH($A17,Horse_Profile!$A$2:$A$41,0))</f>
        <v>Valentino/International</v>
      </c>
      <c r="H17" s="10" t="str">
        <f aca="false">INDEX(Horse_Profile!$M$2:$M$41,MATCH($A17,Horse_Profile!$A$2:$A$41,0))</f>
        <v>Crabbet-influenced</v>
      </c>
      <c r="I17" s="11" t="n">
        <f aca="false">AVERAGEIF(Judge_Scores!$B$2:$B$121,$A17,Judge_Scores!$E$2:$E$121)</f>
        <v>18.5</v>
      </c>
      <c r="J17" s="11" t="n">
        <f aca="false">AVERAGEIF(Judge_Scores!$B$2:$B$121,$A17,Judge_Scores!$F$2:$F$121)</f>
        <v>19.1666666666667</v>
      </c>
      <c r="K17" s="11" t="n">
        <f aca="false">AVERAGEIF(Judge_Scores!$B$2:$B$121,$A17,Judge_Scores!$G$2:$G$121)</f>
        <v>18.5333333333333</v>
      </c>
      <c r="L17" s="11" t="n">
        <f aca="false">AVERAGEIF(Judge_Scores!$B$2:$B$121,$A17,Judge_Scores!$H$2:$H$121)</f>
        <v>18.3333333333333</v>
      </c>
      <c r="M17" s="11" t="n">
        <f aca="false">AVERAGEIF(Judge_Scores!$B$2:$B$121,$A17,Judge_Scores!$I$2:$I$121)</f>
        <v>19.1</v>
      </c>
      <c r="N17" s="11" t="n">
        <f aca="false">AVERAGEIF(Judge_Scores!$B$2:$B$121,$A17,Judge_Scores!$J$2:$J$121)</f>
        <v>18.4</v>
      </c>
      <c r="O17" s="11" t="n">
        <f aca="false">AVERAGEIF(Judge_Scores!$B$2:$B$121,$A17,Judge_Scores!$K$2:$K$121)</f>
        <v>112.033333333333</v>
      </c>
      <c r="P17" s="11" t="n">
        <f aca="false">_xlfn.MAXIFS(Judge_Scores!$K$2:$K$121,Judge_Scores!$B$2:$B$121,$A17)-_xlfn.MINIFS(Judge_Scores!$K$2:$K$121,Judge_Scores!$B$2:$B$121,$A17)</f>
        <v>6.69999999999999</v>
      </c>
      <c r="Q17" s="10" t="n">
        <f aca="false">RANK(O17,$O$2:$O$41,0)</f>
        <v>11</v>
      </c>
      <c r="R17" s="10" t="n">
        <f aca="false">Q17+COUNTIF($O$2:O17,O17)-1</f>
        <v>11</v>
      </c>
      <c r="S17" s="10" t="str">
        <f aca="false">IF(O17&gt;=Settings!$B$8,"Elite",IF(O17&gt;=Settings!$B$9,"High",IF(O17&gt;=Settings!$B$10,"Developing","Needs Review")))</f>
        <v>Elite</v>
      </c>
      <c r="T17" s="10" t="str">
        <f aca="false">INDEX($I$1:$N$1,MATCH(MAX(I17:N17),I17:N17,0))</f>
        <v>Head_Neck</v>
      </c>
      <c r="U17" s="10" t="str">
        <f aca="false">INDEX($I$1:$N$1,MATCH(MIN(I17:N17),I17:N17,0))</f>
        <v>Legs</v>
      </c>
      <c r="V17" s="28" t="n">
        <f aca="false">INDEX(Parent_Reference!$D$2:$D$16,MATCH(C17,Parent_Reference!$A$2:$A$16,0))</f>
        <v>112.8</v>
      </c>
      <c r="W17" s="28" t="n">
        <f aca="false">INDEX(Parent_Reference!$D$2:$D$16,MATCH(D17,Parent_Reference!$A$2:$A$16,0))</f>
        <v>107.6</v>
      </c>
      <c r="X17" s="11" t="n">
        <f aca="false">AVERAGE(V17:W17)</f>
        <v>110.2</v>
      </c>
      <c r="Y17" s="10" t="n">
        <f aca="false">COUNTIFS($C$2:$C$41,C17,$O$2:$O$41,"&gt;"&amp;O17)+1</f>
        <v>6</v>
      </c>
      <c r="Z17" s="10" t="str">
        <f aca="false">C17&amp;"|"&amp;Y17</f>
        <v>Cavali by Da Valentio|6</v>
      </c>
      <c r="AA17" s="20" t="n">
        <f aca="false">O17-V17</f>
        <v>-0.766666666666652</v>
      </c>
      <c r="AB17" s="10" t="str">
        <f aca="false">INDEX(Horse_Profile!$Q$2:$Q$41,MATCH($A17,Horse_Profile!$A$2:$A$41,0))</f>
        <v/>
      </c>
    </row>
    <row r="18" customFormat="false" ht="15" hidden="false" customHeight="false" outlineLevel="0" collapsed="false">
      <c r="A18" s="10" t="s">
        <v>222</v>
      </c>
      <c r="B18" s="10" t="str">
        <f aca="false">INDEX(Horse_Profile!$B$2:$B$41,MATCH($A18,Horse_Profile!$A$2:$A$41,0))</f>
        <v>HA Noura Al Jannat</v>
      </c>
      <c r="C18" s="10" t="str">
        <f aca="false">INDEX(Horse_Profile!$I$2:$I$41,MATCH($A18,Horse_Profile!$A$2:$A$41,0))</f>
        <v>Cavali by Da Valentio</v>
      </c>
      <c r="D18" s="10" t="str">
        <f aca="false">INDEX(Horse_Profile!$K$2:$K$41,MATCH($A18,Horse_Profile!$A$2:$A$41,0))</f>
        <v>Magnum Psyche</v>
      </c>
      <c r="E18" s="10" t="str">
        <f aca="false">INDEX(Horse_Profile!$D$2:$D$41,MATCH($A18,Horse_Profile!$A$2:$A$41,0))</f>
        <v>Colt</v>
      </c>
      <c r="F18" s="10" t="str">
        <f aca="false">INDEX(Horse_Profile!$F$2:$F$41,MATCH($A18,Horse_Profile!$A$2:$A$41,0))</f>
        <v>Young Horse</v>
      </c>
      <c r="G18" s="10" t="str">
        <f aca="false">INDEX(Horse_Profile!$L$2:$L$41,MATCH($A18,Horse_Profile!$A$2:$A$41,0))</f>
        <v>Valentino/International</v>
      </c>
      <c r="H18" s="10" t="str">
        <f aca="false">INDEX(Horse_Profile!$M$2:$M$41,MATCH($A18,Horse_Profile!$A$2:$A$41,0))</f>
        <v>Egyptian-influenced</v>
      </c>
      <c r="I18" s="11" t="n">
        <f aca="false">AVERAGEIF(Judge_Scores!$B$2:$B$121,$A18,Judge_Scores!$E$2:$E$121)</f>
        <v>19.5666666666667</v>
      </c>
      <c r="J18" s="11" t="n">
        <f aca="false">AVERAGEIF(Judge_Scores!$B$2:$B$121,$A18,Judge_Scores!$F$2:$F$121)</f>
        <v>18.2666666666667</v>
      </c>
      <c r="K18" s="11" t="n">
        <f aca="false">AVERAGEIF(Judge_Scores!$B$2:$B$121,$A18,Judge_Scores!$G$2:$G$121)</f>
        <v>18.3333333333333</v>
      </c>
      <c r="L18" s="11" t="n">
        <f aca="false">AVERAGEIF(Judge_Scores!$B$2:$B$121,$A18,Judge_Scores!$H$2:$H$121)</f>
        <v>19.3666666666667</v>
      </c>
      <c r="M18" s="11" t="n">
        <f aca="false">AVERAGEIF(Judge_Scores!$B$2:$B$121,$A18,Judge_Scores!$I$2:$I$121)</f>
        <v>18.4333333333333</v>
      </c>
      <c r="N18" s="11" t="n">
        <f aca="false">AVERAGEIF(Judge_Scores!$B$2:$B$121,$A18,Judge_Scores!$J$2:$J$121)</f>
        <v>18.5</v>
      </c>
      <c r="O18" s="11" t="n">
        <f aca="false">AVERAGEIF(Judge_Scores!$B$2:$B$121,$A18,Judge_Scores!$K$2:$K$121)</f>
        <v>112.466666666667</v>
      </c>
      <c r="P18" s="11" t="n">
        <f aca="false">_xlfn.MAXIFS(Judge_Scores!$K$2:$K$121,Judge_Scores!$B$2:$B$121,$A18)-_xlfn.MINIFS(Judge_Scores!$K$2:$K$121,Judge_Scores!$B$2:$B$121,$A18)</f>
        <v>6.10000000000001</v>
      </c>
      <c r="Q18" s="10" t="n">
        <f aca="false">RANK(O18,$O$2:$O$41,0)</f>
        <v>8</v>
      </c>
      <c r="R18" s="10" t="n">
        <f aca="false">Q18+COUNTIF($O$2:O18,O18)-1</f>
        <v>8</v>
      </c>
      <c r="S18" s="10" t="str">
        <f aca="false">IF(O18&gt;=Settings!$B$8,"Elite",IF(O18&gt;=Settings!$B$9,"High",IF(O18&gt;=Settings!$B$10,"Developing","Needs Review")))</f>
        <v>Elite</v>
      </c>
      <c r="T18" s="10" t="str">
        <f aca="false">INDEX($I$1:$N$1,MATCH(MAX(I18:N18),I18:N18,0))</f>
        <v>Type</v>
      </c>
      <c r="U18" s="10" t="str">
        <f aca="false">INDEX($I$1:$N$1,MATCH(MIN(I18:N18),I18:N18,0))</f>
        <v>Head_Neck</v>
      </c>
      <c r="V18" s="28" t="n">
        <f aca="false">INDEX(Parent_Reference!$D$2:$D$16,MATCH(C18,Parent_Reference!$A$2:$A$16,0))</f>
        <v>112.8</v>
      </c>
      <c r="W18" s="28" t="n">
        <f aca="false">INDEX(Parent_Reference!$D$2:$D$16,MATCH(D18,Parent_Reference!$A$2:$A$16,0))</f>
        <v>106.5</v>
      </c>
      <c r="X18" s="11" t="n">
        <f aca="false">AVERAGE(V18:W18)</f>
        <v>109.65</v>
      </c>
      <c r="Y18" s="10" t="n">
        <f aca="false">COUNTIFS($C$2:$C$41,C18,$O$2:$O$41,"&gt;"&amp;O18)+1</f>
        <v>3</v>
      </c>
      <c r="Z18" s="10" t="str">
        <f aca="false">C18&amp;"|"&amp;Y18</f>
        <v>Cavali by Da Valentio|3</v>
      </c>
      <c r="AA18" s="20" t="n">
        <f aca="false">O18-V18</f>
        <v>-0.333333333333314</v>
      </c>
      <c r="AB18" s="10" t="str">
        <f aca="false">INDEX(Horse_Profile!$Q$2:$Q$41,MATCH($A18,Horse_Profile!$A$2:$A$41,0))</f>
        <v>Sex/age mismatch</v>
      </c>
    </row>
    <row r="19" customFormat="false" ht="15" hidden="false" customHeight="false" outlineLevel="0" collapsed="false">
      <c r="A19" s="10" t="s">
        <v>227</v>
      </c>
      <c r="B19" s="10" t="str">
        <f aca="false">INDEX(Horse_Profile!$B$2:$B$41,MATCH($A19,Horse_Profile!$A$2:$A$41,0))</f>
        <v>HA Khalil Valentino</v>
      </c>
      <c r="C19" s="10" t="str">
        <f aca="false">INDEX(Horse_Profile!$I$2:$I$41,MATCH($A19,Horse_Profile!$A$2:$A$41,0))</f>
        <v>Titan AS</v>
      </c>
      <c r="D19" s="10" t="str">
        <f aca="false">INDEX(Horse_Profile!$K$2:$K$41,MATCH($A19,Horse_Profile!$A$2:$A$41,0))</f>
        <v>Versace</v>
      </c>
      <c r="E19" s="10" t="str">
        <f aca="false">INDEX(Horse_Profile!$D$2:$D$41,MATCH($A19,Horse_Profile!$A$2:$A$41,0))</f>
        <v>Filly</v>
      </c>
      <c r="F19" s="10" t="str">
        <f aca="false">INDEX(Horse_Profile!$F$2:$F$41,MATCH($A19,Horse_Profile!$A$2:$A$41,0))</f>
        <v>Junior</v>
      </c>
      <c r="G19" s="10" t="str">
        <f aca="false">INDEX(Horse_Profile!$L$2:$L$41,MATCH($A19,Horse_Profile!$A$2:$A$41,0))</f>
        <v>American/International</v>
      </c>
      <c r="H19" s="10" t="str">
        <f aca="false">INDEX(Horse_Profile!$M$2:$M$41,MATCH($A19,Horse_Profile!$A$2:$A$41,0))</f>
        <v>Egyptian-influenced</v>
      </c>
      <c r="I19" s="11" t="n">
        <f aca="false">AVERAGEIF(Judge_Scores!$B$2:$B$121,$A19,Judge_Scores!$E$2:$E$121)</f>
        <v>17.3333333333333</v>
      </c>
      <c r="J19" s="11" t="n">
        <f aca="false">AVERAGEIF(Judge_Scores!$B$2:$B$121,$A19,Judge_Scores!$F$2:$F$121)</f>
        <v>16.3333333333333</v>
      </c>
      <c r="K19" s="11" t="n">
        <f aca="false">AVERAGEIF(Judge_Scores!$B$2:$B$121,$A19,Judge_Scores!$G$2:$G$121)</f>
        <v>17.9333333333333</v>
      </c>
      <c r="L19" s="11" t="n">
        <f aca="false">AVERAGEIF(Judge_Scores!$B$2:$B$121,$A19,Judge_Scores!$H$2:$H$121)</f>
        <v>18</v>
      </c>
      <c r="M19" s="11" t="n">
        <f aca="false">AVERAGEIF(Judge_Scores!$B$2:$B$121,$A19,Judge_Scores!$I$2:$I$121)</f>
        <v>16.5</v>
      </c>
      <c r="N19" s="11" t="n">
        <f aca="false">AVERAGEIF(Judge_Scores!$B$2:$B$121,$A19,Judge_Scores!$J$2:$J$121)</f>
        <v>18.4333333333333</v>
      </c>
      <c r="O19" s="11" t="n">
        <f aca="false">AVERAGEIF(Judge_Scores!$B$2:$B$121,$A19,Judge_Scores!$K$2:$K$121)</f>
        <v>104.533333333333</v>
      </c>
      <c r="P19" s="11" t="n">
        <f aca="false">_xlfn.MAXIFS(Judge_Scores!$K$2:$K$121,Judge_Scores!$B$2:$B$121,$A19)-_xlfn.MINIFS(Judge_Scores!$K$2:$K$121,Judge_Scores!$B$2:$B$121,$A19)</f>
        <v>6.30000000000001</v>
      </c>
      <c r="Q19" s="10" t="n">
        <f aca="false">RANK(O19,$O$2:$O$41,0)</f>
        <v>38</v>
      </c>
      <c r="R19" s="10" t="n">
        <f aca="false">Q19+COUNTIF($O$2:O19,O19)-1</f>
        <v>38</v>
      </c>
      <c r="S19" s="10" t="str">
        <f aca="false">IF(O19&gt;=Settings!$B$8,"Elite",IF(O19&gt;=Settings!$B$9,"High",IF(O19&gt;=Settings!$B$10,"Developing","Needs Review")))</f>
        <v>Developing</v>
      </c>
      <c r="T19" s="10" t="str">
        <f aca="false">INDEX($I$1:$N$1,MATCH(MAX(I19:N19),I19:N19,0))</f>
        <v>Balance</v>
      </c>
      <c r="U19" s="10" t="str">
        <f aca="false">INDEX($I$1:$N$1,MATCH(MIN(I19:N19),I19:N19,0))</f>
        <v>Head_Neck</v>
      </c>
      <c r="V19" s="28" t="n">
        <f aca="false">INDEX(Parent_Reference!$D$2:$D$16,MATCH(C19,Parent_Reference!$A$2:$A$16,0))</f>
        <v>111.3</v>
      </c>
      <c r="W19" s="28" t="n">
        <f aca="false">INDEX(Parent_Reference!$D$2:$D$16,MATCH(D19,Parent_Reference!$A$2:$A$16,0))</f>
        <v>106.3</v>
      </c>
      <c r="X19" s="11" t="n">
        <f aca="false">AVERAGE(V19:W19)</f>
        <v>108.8</v>
      </c>
      <c r="Y19" s="10" t="n">
        <f aca="false">COUNTIFS($C$2:$C$41,C19,$O$2:$O$41,"&gt;"&amp;O19)+1</f>
        <v>5</v>
      </c>
      <c r="Z19" s="10" t="str">
        <f aca="false">C19&amp;"|"&amp;Y19</f>
        <v>Titan AS|5</v>
      </c>
      <c r="AA19" s="20" t="n">
        <f aca="false">O19-V19</f>
        <v>-6.76666666666665</v>
      </c>
      <c r="AB19" s="10" t="str">
        <f aca="false">INDEX(Horse_Profile!$Q$2:$Q$41,MATCH($A19,Horse_Profile!$A$2:$A$41,0))</f>
        <v/>
      </c>
    </row>
    <row r="20" customFormat="false" ht="15" hidden="false" customHeight="false" outlineLevel="0" collapsed="false">
      <c r="A20" s="10" t="s">
        <v>231</v>
      </c>
      <c r="B20" s="10" t="str">
        <f aca="false">INDEX(Horse_Profile!$B$2:$B$41,MATCH($A20,Horse_Profile!$A$2:$A$41,0))</f>
        <v>HA Saffron Golden Star</v>
      </c>
      <c r="C20" s="10" t="str">
        <f aca="false">INDEX(Horse_Profile!$I$2:$I$41,MATCH($A20,Horse_Profile!$A$2:$A$41,0))</f>
        <v>Abha Qatar</v>
      </c>
      <c r="D20" s="10" t="str">
        <f aca="false">INDEX(Horse_Profile!$K$2:$K$41,MATCH($A20,Horse_Profile!$A$2:$A$41,0))</f>
        <v>Magnum Psyche</v>
      </c>
      <c r="E20" s="10" t="str">
        <f aca="false">INDEX(Horse_Profile!$D$2:$D$41,MATCH($A20,Horse_Profile!$A$2:$A$41,0))</f>
        <v>Filly</v>
      </c>
      <c r="F20" s="10" t="str">
        <f aca="false">INDEX(Horse_Profile!$F$2:$F$41,MATCH($A20,Horse_Profile!$A$2:$A$41,0))</f>
        <v>Mature</v>
      </c>
      <c r="G20" s="10" t="str">
        <f aca="false">INDEX(Horse_Profile!$L$2:$L$41,MATCH($A20,Horse_Profile!$A$2:$A$41,0))</f>
        <v>Qatari/Spanish</v>
      </c>
      <c r="H20" s="10" t="str">
        <f aca="false">INDEX(Horse_Profile!$M$2:$M$41,MATCH($A20,Horse_Profile!$A$2:$A$41,0))</f>
        <v>Domestic</v>
      </c>
      <c r="I20" s="11" t="n">
        <f aca="false">AVERAGEIF(Judge_Scores!$B$2:$B$121,$A20,Judge_Scores!$E$2:$E$121)</f>
        <v>19.1666666666667</v>
      </c>
      <c r="J20" s="11" t="n">
        <f aca="false">AVERAGEIF(Judge_Scores!$B$2:$B$121,$A20,Judge_Scores!$F$2:$F$121)</f>
        <v>18.7333333333333</v>
      </c>
      <c r="K20" s="11" t="n">
        <f aca="false">AVERAGEIF(Judge_Scores!$B$2:$B$121,$A20,Judge_Scores!$G$2:$G$121)</f>
        <v>18.0666666666667</v>
      </c>
      <c r="L20" s="11" t="n">
        <f aca="false">AVERAGEIF(Judge_Scores!$B$2:$B$121,$A20,Judge_Scores!$H$2:$H$121)</f>
        <v>18.6333333333333</v>
      </c>
      <c r="M20" s="11" t="n">
        <f aca="false">AVERAGEIF(Judge_Scores!$B$2:$B$121,$A20,Judge_Scores!$I$2:$I$121)</f>
        <v>18.2333333333333</v>
      </c>
      <c r="N20" s="11" t="n">
        <f aca="false">AVERAGEIF(Judge_Scores!$B$2:$B$121,$A20,Judge_Scores!$J$2:$J$121)</f>
        <v>18.2666666666667</v>
      </c>
      <c r="O20" s="11" t="n">
        <f aca="false">AVERAGEIF(Judge_Scores!$B$2:$B$121,$A20,Judge_Scores!$K$2:$K$121)</f>
        <v>111.1</v>
      </c>
      <c r="P20" s="11" t="n">
        <f aca="false">_xlfn.MAXIFS(Judge_Scores!$K$2:$K$121,Judge_Scores!$B$2:$B$121,$A20)-_xlfn.MINIFS(Judge_Scores!$K$2:$K$121,Judge_Scores!$B$2:$B$121,$A20)</f>
        <v>3.09999999999999</v>
      </c>
      <c r="Q20" s="10" t="n">
        <f aca="false">RANK(O20,$O$2:$O$41,0)</f>
        <v>15</v>
      </c>
      <c r="R20" s="10" t="n">
        <f aca="false">Q20+COUNTIF($O$2:O20,O20)-1</f>
        <v>15</v>
      </c>
      <c r="S20" s="10" t="str">
        <f aca="false">IF(O20&gt;=Settings!$B$8,"Elite",IF(O20&gt;=Settings!$B$9,"High",IF(O20&gt;=Settings!$B$10,"Developing","Needs Review")))</f>
        <v>High</v>
      </c>
      <c r="T20" s="10" t="str">
        <f aca="false">INDEX($I$1:$N$1,MATCH(MAX(I20:N20),I20:N20,0))</f>
        <v>Type</v>
      </c>
      <c r="U20" s="10" t="str">
        <f aca="false">INDEX($I$1:$N$1,MATCH(MIN(I20:N20),I20:N20,0))</f>
        <v>Body_Topline</v>
      </c>
      <c r="V20" s="28" t="n">
        <f aca="false">INDEX(Parent_Reference!$D$2:$D$16,MATCH(C20,Parent_Reference!$A$2:$A$16,0))</f>
        <v>112.9</v>
      </c>
      <c r="W20" s="28" t="n">
        <f aca="false">INDEX(Parent_Reference!$D$2:$D$16,MATCH(D20,Parent_Reference!$A$2:$A$16,0))</f>
        <v>106.5</v>
      </c>
      <c r="X20" s="11" t="n">
        <f aca="false">AVERAGE(V20:W20)</f>
        <v>109.7</v>
      </c>
      <c r="Y20" s="10" t="n">
        <f aca="false">COUNTIFS($C$2:$C$41,C20,$O$2:$O$41,"&gt;"&amp;O20)+1</f>
        <v>1</v>
      </c>
      <c r="Z20" s="10" t="str">
        <f aca="false">C20&amp;"|"&amp;Y20</f>
        <v>Abha Qatar|1</v>
      </c>
      <c r="AA20" s="20" t="n">
        <f aca="false">O20-V20</f>
        <v>-1.79999999999998</v>
      </c>
      <c r="AB20" s="10" t="str">
        <f aca="false">INDEX(Horse_Profile!$Q$2:$Q$41,MATCH($A20,Horse_Profile!$A$2:$A$41,0))</f>
        <v>Sex/age mismatch</v>
      </c>
    </row>
    <row r="21" customFormat="false" ht="15" hidden="false" customHeight="false" outlineLevel="0" collapsed="false">
      <c r="A21" s="10" t="s">
        <v>235</v>
      </c>
      <c r="B21" s="10" t="str">
        <f aca="false">INDEX(Horse_Profile!$B$2:$B$41,MATCH($A21,Horse_Profile!$A$2:$A$41,0))</f>
        <v>HA Aziza Royal Flame</v>
      </c>
      <c r="C21" s="10" t="str">
        <f aca="false">INDEX(Horse_Profile!$I$2:$I$41,MATCH($A21,Horse_Profile!$A$2:$A$41,0))</f>
        <v>Van Gogh AM</v>
      </c>
      <c r="D21" s="10" t="str">
        <f aca="false">INDEX(Horse_Profile!$K$2:$K$41,MATCH($A21,Horse_Profile!$A$2:$A$41,0))</f>
        <v>Bey Shah</v>
      </c>
      <c r="E21" s="10" t="str">
        <f aca="false">INDEX(Horse_Profile!$D$2:$D$41,MATCH($A21,Horse_Profile!$A$2:$A$41,0))</f>
        <v>Colt</v>
      </c>
      <c r="F21" s="10" t="str">
        <f aca="false">INDEX(Horse_Profile!$F$2:$F$41,MATCH($A21,Horse_Profile!$A$2:$A$41,0))</f>
        <v>Junior</v>
      </c>
      <c r="G21" s="10" t="str">
        <f aca="false">INDEX(Horse_Profile!$L$2:$L$41,MATCH($A21,Horse_Profile!$A$2:$A$41,0))</f>
        <v>Brazilian/International</v>
      </c>
      <c r="H21" s="10" t="str">
        <f aca="false">INDEX(Horse_Profile!$M$2:$M$41,MATCH($A21,Horse_Profile!$A$2:$A$41,0))</f>
        <v>Domestic</v>
      </c>
      <c r="I21" s="11" t="n">
        <f aca="false">AVERAGEIF(Judge_Scores!$B$2:$B$121,$A21,Judge_Scores!$E$2:$E$121)</f>
        <v>18.1666666666667</v>
      </c>
      <c r="J21" s="11" t="n">
        <f aca="false">AVERAGEIF(Judge_Scores!$B$2:$B$121,$A21,Judge_Scores!$F$2:$F$121)</f>
        <v>18.7333333333333</v>
      </c>
      <c r="K21" s="11" t="n">
        <f aca="false">AVERAGEIF(Judge_Scores!$B$2:$B$121,$A21,Judge_Scores!$G$2:$G$121)</f>
        <v>18.1666666666667</v>
      </c>
      <c r="L21" s="11" t="n">
        <f aca="false">AVERAGEIF(Judge_Scores!$B$2:$B$121,$A21,Judge_Scores!$H$2:$H$121)</f>
        <v>18.2666666666667</v>
      </c>
      <c r="M21" s="11" t="n">
        <f aca="false">AVERAGEIF(Judge_Scores!$B$2:$B$121,$A21,Judge_Scores!$I$2:$I$121)</f>
        <v>18.4</v>
      </c>
      <c r="N21" s="11" t="n">
        <f aca="false">AVERAGEIF(Judge_Scores!$B$2:$B$121,$A21,Judge_Scores!$J$2:$J$121)</f>
        <v>18.2333333333333</v>
      </c>
      <c r="O21" s="11" t="n">
        <f aca="false">AVERAGEIF(Judge_Scores!$B$2:$B$121,$A21,Judge_Scores!$K$2:$K$121)</f>
        <v>109.966666666667</v>
      </c>
      <c r="P21" s="11" t="n">
        <f aca="false">_xlfn.MAXIFS(Judge_Scores!$K$2:$K$121,Judge_Scores!$B$2:$B$121,$A21)-_xlfn.MINIFS(Judge_Scores!$K$2:$K$121,Judge_Scores!$B$2:$B$121,$A21)</f>
        <v>9</v>
      </c>
      <c r="Q21" s="10" t="n">
        <f aca="false">RANK(O21,$O$2:$O$41,0)</f>
        <v>25</v>
      </c>
      <c r="R21" s="10" t="n">
        <f aca="false">Q21+COUNTIF($O$2:O21,O21)-1</f>
        <v>25</v>
      </c>
      <c r="S21" s="10" t="str">
        <f aca="false">IF(O21&gt;=Settings!$B$8,"Elite",IF(O21&gt;=Settings!$B$9,"High",IF(O21&gt;=Settings!$B$10,"Developing","Needs Review")))</f>
        <v>High</v>
      </c>
      <c r="T21" s="10" t="str">
        <f aca="false">INDEX($I$1:$N$1,MATCH(MAX(I21:N21),I21:N21,0))</f>
        <v>Head_Neck</v>
      </c>
      <c r="U21" s="10" t="str">
        <f aca="false">INDEX($I$1:$N$1,MATCH(MIN(I21:N21),I21:N21,0))</f>
        <v>Type</v>
      </c>
      <c r="V21" s="28" t="n">
        <f aca="false">INDEX(Parent_Reference!$D$2:$D$16,MATCH(C21,Parent_Reference!$A$2:$A$16,0))</f>
        <v>111.7</v>
      </c>
      <c r="W21" s="28" t="n">
        <f aca="false">INDEX(Parent_Reference!$D$2:$D$16,MATCH(D21,Parent_Reference!$A$2:$A$16,0))</f>
        <v>111.5</v>
      </c>
      <c r="X21" s="11" t="n">
        <f aca="false">AVERAGE(V21:W21)</f>
        <v>111.6</v>
      </c>
      <c r="Y21" s="10" t="n">
        <f aca="false">COUNTIFS($C$2:$C$41,C21,$O$2:$O$41,"&gt;"&amp;O21)+1</f>
        <v>3</v>
      </c>
      <c r="Z21" s="10" t="str">
        <f aca="false">C21&amp;"|"&amp;Y21</f>
        <v>Van Gogh AM|3</v>
      </c>
      <c r="AA21" s="20" t="n">
        <f aca="false">O21-V21</f>
        <v>-1.73333333333335</v>
      </c>
      <c r="AB21" s="10" t="str">
        <f aca="false">INDEX(Horse_Profile!$Q$2:$Q$41,MATCH($A21,Horse_Profile!$A$2:$A$41,0))</f>
        <v/>
      </c>
    </row>
    <row r="22" customFormat="false" ht="15" hidden="false" customHeight="false" outlineLevel="0" collapsed="false">
      <c r="A22" s="10" t="s">
        <v>239</v>
      </c>
      <c r="B22" s="10" t="str">
        <f aca="false">INDEX(Horse_Profile!$B$2:$B$41,MATCH($A22,Horse_Profile!$A$2:$A$41,0))</f>
        <v>HA Majid Al Jannat</v>
      </c>
      <c r="C22" s="10" t="str">
        <f aca="false">INDEX(Horse_Profile!$I$2:$I$41,MATCH($A22,Horse_Profile!$A$2:$A$41,0))</f>
        <v>Van Gogh AM</v>
      </c>
      <c r="D22" s="10" t="str">
        <f aca="false">INDEX(Horse_Profile!$K$2:$K$41,MATCH($A22,Horse_Profile!$A$2:$A$41,0))</f>
        <v>El Nabila B</v>
      </c>
      <c r="E22" s="10" t="str">
        <f aca="false">INDEX(Horse_Profile!$D$2:$D$41,MATCH($A22,Horse_Profile!$A$2:$A$41,0))</f>
        <v>Filly</v>
      </c>
      <c r="F22" s="10" t="str">
        <f aca="false">INDEX(Horse_Profile!$F$2:$F$41,MATCH($A22,Horse_Profile!$A$2:$A$41,0))</f>
        <v>Mature</v>
      </c>
      <c r="G22" s="10" t="str">
        <f aca="false">INDEX(Horse_Profile!$L$2:$L$41,MATCH($A22,Horse_Profile!$A$2:$A$41,0))</f>
        <v>Brazilian/International</v>
      </c>
      <c r="H22" s="10" t="str">
        <f aca="false">INDEX(Horse_Profile!$M$2:$M$41,MATCH($A22,Horse_Profile!$A$2:$A$41,0))</f>
        <v>Crabbet-influenced</v>
      </c>
      <c r="I22" s="11" t="n">
        <f aca="false">AVERAGEIF(Judge_Scores!$B$2:$B$121,$A22,Judge_Scores!$E$2:$E$121)</f>
        <v>19.3333333333333</v>
      </c>
      <c r="J22" s="11" t="n">
        <f aca="false">AVERAGEIF(Judge_Scores!$B$2:$B$121,$A22,Judge_Scores!$F$2:$F$121)</f>
        <v>19.1666666666667</v>
      </c>
      <c r="K22" s="11" t="n">
        <f aca="false">AVERAGEIF(Judge_Scores!$B$2:$B$121,$A22,Judge_Scores!$G$2:$G$121)</f>
        <v>18.0666666666667</v>
      </c>
      <c r="L22" s="11" t="n">
        <f aca="false">AVERAGEIF(Judge_Scores!$B$2:$B$121,$A22,Judge_Scores!$H$2:$H$121)</f>
        <v>18.2333333333333</v>
      </c>
      <c r="M22" s="11" t="n">
        <f aca="false">AVERAGEIF(Judge_Scores!$B$2:$B$121,$A22,Judge_Scores!$I$2:$I$121)</f>
        <v>16.8333333333333</v>
      </c>
      <c r="N22" s="11" t="n">
        <f aca="false">AVERAGEIF(Judge_Scores!$B$2:$B$121,$A22,Judge_Scores!$J$2:$J$121)</f>
        <v>19</v>
      </c>
      <c r="O22" s="11" t="n">
        <f aca="false">AVERAGEIF(Judge_Scores!$B$2:$B$121,$A22,Judge_Scores!$K$2:$K$121)</f>
        <v>110.633333333333</v>
      </c>
      <c r="P22" s="11" t="n">
        <f aca="false">_xlfn.MAXIFS(Judge_Scores!$K$2:$K$121,Judge_Scores!$B$2:$B$121,$A22)-_xlfn.MINIFS(Judge_Scores!$K$2:$K$121,Judge_Scores!$B$2:$B$121,$A22)</f>
        <v>4.00000000000001</v>
      </c>
      <c r="Q22" s="10" t="n">
        <f aca="false">RANK(O22,$O$2:$O$41,0)</f>
        <v>18</v>
      </c>
      <c r="R22" s="10" t="n">
        <f aca="false">Q22+COUNTIF($O$2:O22,O22)-1</f>
        <v>18</v>
      </c>
      <c r="S22" s="10" t="str">
        <f aca="false">IF(O22&gt;=Settings!$B$8,"Elite",IF(O22&gt;=Settings!$B$9,"High",IF(O22&gt;=Settings!$B$10,"Developing","Needs Review")))</f>
        <v>High</v>
      </c>
      <c r="T22" s="10" t="str">
        <f aca="false">INDEX($I$1:$N$1,MATCH(MAX(I22:N22),I22:N22,0))</f>
        <v>Type</v>
      </c>
      <c r="U22" s="10" t="str">
        <f aca="false">INDEX($I$1:$N$1,MATCH(MIN(I22:N22),I22:N22,0))</f>
        <v>Movement</v>
      </c>
      <c r="V22" s="28" t="n">
        <f aca="false">INDEX(Parent_Reference!$D$2:$D$16,MATCH(C22,Parent_Reference!$A$2:$A$16,0))</f>
        <v>111.7</v>
      </c>
      <c r="W22" s="28" t="n">
        <f aca="false">INDEX(Parent_Reference!$D$2:$D$16,MATCH(D22,Parent_Reference!$A$2:$A$16,0))</f>
        <v>106.5</v>
      </c>
      <c r="X22" s="11" t="n">
        <f aca="false">AVERAGE(V22:W22)</f>
        <v>109.1</v>
      </c>
      <c r="Y22" s="10" t="n">
        <f aca="false">COUNTIFS($C$2:$C$41,C22,$O$2:$O$41,"&gt;"&amp;O22)+1</f>
        <v>2</v>
      </c>
      <c r="Z22" s="10" t="str">
        <f aca="false">C22&amp;"|"&amp;Y22</f>
        <v>Van Gogh AM|2</v>
      </c>
      <c r="AA22" s="20" t="n">
        <f aca="false">O22-V22</f>
        <v>-1.06666666666668</v>
      </c>
      <c r="AB22" s="10" t="str">
        <f aca="false">INDEX(Horse_Profile!$Q$2:$Q$41,MATCH($A22,Horse_Profile!$A$2:$A$41,0))</f>
        <v>Sex/age mismatch</v>
      </c>
    </row>
    <row r="23" customFormat="false" ht="15" hidden="false" customHeight="false" outlineLevel="0" collapsed="false">
      <c r="A23" s="10" t="s">
        <v>242</v>
      </c>
      <c r="B23" s="10" t="str">
        <f aca="false">INDEX(Horse_Profile!$B$2:$B$41,MATCH($A23,Horse_Profile!$A$2:$A$41,0))</f>
        <v>HA Dalia Desert Rose</v>
      </c>
      <c r="C23" s="10" t="str">
        <f aca="false">INDEX(Horse_Profile!$I$2:$I$41,MATCH($A23,Horse_Profile!$A$2:$A$41,0))</f>
        <v>Titan AS</v>
      </c>
      <c r="D23" s="10" t="str">
        <f aca="false">INDEX(Horse_Profile!$K$2:$K$41,MATCH($A23,Horse_Profile!$A$2:$A$41,0))</f>
        <v>Versace</v>
      </c>
      <c r="E23" s="10" t="str">
        <f aca="false">INDEX(Horse_Profile!$D$2:$D$41,MATCH($A23,Horse_Profile!$A$2:$A$41,0))</f>
        <v>Stallion</v>
      </c>
      <c r="F23" s="10" t="str">
        <f aca="false">INDEX(Horse_Profile!$F$2:$F$41,MATCH($A23,Horse_Profile!$A$2:$A$41,0))</f>
        <v>Mature</v>
      </c>
      <c r="G23" s="10" t="str">
        <f aca="false">INDEX(Horse_Profile!$L$2:$L$41,MATCH($A23,Horse_Profile!$A$2:$A$41,0))</f>
        <v>American/International</v>
      </c>
      <c r="H23" s="10" t="str">
        <f aca="false">INDEX(Horse_Profile!$M$2:$M$41,MATCH($A23,Horse_Profile!$A$2:$A$41,0))</f>
        <v>Egyptian-influenced</v>
      </c>
      <c r="I23" s="11" t="n">
        <f aca="false">AVERAGEIF(Judge_Scores!$B$2:$B$121,$A23,Judge_Scores!$E$2:$E$121)</f>
        <v>17.9666666666667</v>
      </c>
      <c r="J23" s="11" t="n">
        <f aca="false">AVERAGEIF(Judge_Scores!$B$2:$B$121,$A23,Judge_Scores!$F$2:$F$121)</f>
        <v>18.1666666666667</v>
      </c>
      <c r="K23" s="11" t="n">
        <f aca="false">AVERAGEIF(Judge_Scores!$B$2:$B$121,$A23,Judge_Scores!$G$2:$G$121)</f>
        <v>18.5333333333333</v>
      </c>
      <c r="L23" s="11" t="n">
        <f aca="false">AVERAGEIF(Judge_Scores!$B$2:$B$121,$A23,Judge_Scores!$H$2:$H$121)</f>
        <v>17.7666666666667</v>
      </c>
      <c r="M23" s="11" t="n">
        <f aca="false">AVERAGEIF(Judge_Scores!$B$2:$B$121,$A23,Judge_Scores!$I$2:$I$121)</f>
        <v>18.3666666666667</v>
      </c>
      <c r="N23" s="11" t="n">
        <f aca="false">AVERAGEIF(Judge_Scores!$B$2:$B$121,$A23,Judge_Scores!$J$2:$J$121)</f>
        <v>18.3666666666667</v>
      </c>
      <c r="O23" s="11" t="n">
        <f aca="false">AVERAGEIF(Judge_Scores!$B$2:$B$121,$A23,Judge_Scores!$K$2:$K$121)</f>
        <v>109.166666666667</v>
      </c>
      <c r="P23" s="11" t="n">
        <f aca="false">_xlfn.MAXIFS(Judge_Scores!$K$2:$K$121,Judge_Scores!$B$2:$B$121,$A23)-_xlfn.MINIFS(Judge_Scores!$K$2:$K$121,Judge_Scores!$B$2:$B$121,$A23)</f>
        <v>4.5</v>
      </c>
      <c r="Q23" s="10" t="n">
        <f aca="false">RANK(O23,$O$2:$O$41,0)</f>
        <v>26</v>
      </c>
      <c r="R23" s="10" t="n">
        <f aca="false">Q23+COUNTIF($O$2:O23,O23)-1</f>
        <v>26</v>
      </c>
      <c r="S23" s="10" t="str">
        <f aca="false">IF(O23&gt;=Settings!$B$8,"Elite",IF(O23&gt;=Settings!$B$9,"High",IF(O23&gt;=Settings!$B$10,"Developing","Needs Review")))</f>
        <v>High</v>
      </c>
      <c r="T23" s="10" t="str">
        <f aca="false">INDEX($I$1:$N$1,MATCH(MAX(I23:N23),I23:N23,0))</f>
        <v>Body_Topline</v>
      </c>
      <c r="U23" s="10" t="str">
        <f aca="false">INDEX($I$1:$N$1,MATCH(MIN(I23:N23),I23:N23,0))</f>
        <v>Legs</v>
      </c>
      <c r="V23" s="28" t="n">
        <f aca="false">INDEX(Parent_Reference!$D$2:$D$16,MATCH(C23,Parent_Reference!$A$2:$A$16,0))</f>
        <v>111.3</v>
      </c>
      <c r="W23" s="28" t="n">
        <f aca="false">INDEX(Parent_Reference!$D$2:$D$16,MATCH(D23,Parent_Reference!$A$2:$A$16,0))</f>
        <v>106.3</v>
      </c>
      <c r="X23" s="11" t="n">
        <f aca="false">AVERAGE(V23:W23)</f>
        <v>108.8</v>
      </c>
      <c r="Y23" s="10" t="n">
        <f aca="false">COUNTIFS($C$2:$C$41,C23,$O$2:$O$41,"&gt;"&amp;O23)+1</f>
        <v>2</v>
      </c>
      <c r="Z23" s="10" t="str">
        <f aca="false">C23&amp;"|"&amp;Y23</f>
        <v>Titan AS|2</v>
      </c>
      <c r="AA23" s="20" t="n">
        <f aca="false">O23-V23</f>
        <v>-2.13333333333333</v>
      </c>
      <c r="AB23" s="10" t="str">
        <f aca="false">INDEX(Horse_Profile!$Q$2:$Q$41,MATCH($A23,Horse_Profile!$A$2:$A$41,0))</f>
        <v/>
      </c>
    </row>
    <row r="24" customFormat="false" ht="15" hidden="false" customHeight="false" outlineLevel="0" collapsed="false">
      <c r="A24" s="10" t="s">
        <v>246</v>
      </c>
      <c r="B24" s="10" t="str">
        <f aca="false">INDEX(Horse_Profile!$B$2:$B$41,MATCH($A24,Horse_Profile!$A$2:$A$41,0))</f>
        <v>HA Rashid Golden Star</v>
      </c>
      <c r="C24" s="10" t="str">
        <f aca="false">INDEX(Horse_Profile!$I$2:$I$41,MATCH($A24,Horse_Profile!$A$2:$A$41,0))</f>
        <v>Cavali by Da Valentio</v>
      </c>
      <c r="D24" s="10" t="str">
        <f aca="false">INDEX(Horse_Profile!$K$2:$K$41,MATCH($A24,Horse_Profile!$A$2:$A$41,0))</f>
        <v>Padron</v>
      </c>
      <c r="E24" s="10" t="str">
        <f aca="false">INDEX(Horse_Profile!$D$2:$D$41,MATCH($A24,Horse_Profile!$A$2:$A$41,0))</f>
        <v>Colt</v>
      </c>
      <c r="F24" s="10" t="str">
        <f aca="false">INDEX(Horse_Profile!$F$2:$F$41,MATCH($A24,Horse_Profile!$A$2:$A$41,0))</f>
        <v>Mature</v>
      </c>
      <c r="G24" s="10" t="str">
        <f aca="false">INDEX(Horse_Profile!$L$2:$L$41,MATCH($A24,Horse_Profile!$A$2:$A$41,0))</f>
        <v>Valentino/International</v>
      </c>
      <c r="H24" s="10" t="str">
        <f aca="false">INDEX(Horse_Profile!$M$2:$M$41,MATCH($A24,Horse_Profile!$A$2:$A$41,0))</f>
        <v>Egyptian-influenced</v>
      </c>
      <c r="I24" s="11" t="n">
        <f aca="false">AVERAGEIF(Judge_Scores!$B$2:$B$121,$A24,Judge_Scores!$E$2:$E$121)</f>
        <v>18.4333333333333</v>
      </c>
      <c r="J24" s="11" t="n">
        <f aca="false">AVERAGEIF(Judge_Scores!$B$2:$B$121,$A24,Judge_Scores!$F$2:$F$121)</f>
        <v>19.5666666666667</v>
      </c>
      <c r="K24" s="11" t="n">
        <f aca="false">AVERAGEIF(Judge_Scores!$B$2:$B$121,$A24,Judge_Scores!$G$2:$G$121)</f>
        <v>18.4666666666667</v>
      </c>
      <c r="L24" s="11" t="n">
        <f aca="false">AVERAGEIF(Judge_Scores!$B$2:$B$121,$A24,Judge_Scores!$H$2:$H$121)</f>
        <v>18.2666666666667</v>
      </c>
      <c r="M24" s="11" t="n">
        <f aca="false">AVERAGEIF(Judge_Scores!$B$2:$B$121,$A24,Judge_Scores!$I$2:$I$121)</f>
        <v>19.3666666666667</v>
      </c>
      <c r="N24" s="11" t="n">
        <f aca="false">AVERAGEIF(Judge_Scores!$B$2:$B$121,$A24,Judge_Scores!$J$2:$J$121)</f>
        <v>18.7</v>
      </c>
      <c r="O24" s="11" t="n">
        <f aca="false">AVERAGEIF(Judge_Scores!$B$2:$B$121,$A24,Judge_Scores!$K$2:$K$121)</f>
        <v>112.8</v>
      </c>
      <c r="P24" s="11" t="n">
        <f aca="false">_xlfn.MAXIFS(Judge_Scores!$K$2:$K$121,Judge_Scores!$B$2:$B$121,$A24)-_xlfn.MINIFS(Judge_Scores!$K$2:$K$121,Judge_Scores!$B$2:$B$121,$A24)</f>
        <v>2.2</v>
      </c>
      <c r="Q24" s="10" t="n">
        <f aca="false">RANK(O24,$O$2:$O$41,0)</f>
        <v>6</v>
      </c>
      <c r="R24" s="10" t="n">
        <f aca="false">Q24+COUNTIF($O$2:O24,O24)-1</f>
        <v>6</v>
      </c>
      <c r="S24" s="10" t="str">
        <f aca="false">IF(O24&gt;=Settings!$B$8,"Elite",IF(O24&gt;=Settings!$B$9,"High",IF(O24&gt;=Settings!$B$10,"Developing","Needs Review")))</f>
        <v>Elite</v>
      </c>
      <c r="T24" s="10" t="str">
        <f aca="false">INDEX($I$1:$N$1,MATCH(MAX(I24:N24),I24:N24,0))</f>
        <v>Head_Neck</v>
      </c>
      <c r="U24" s="10" t="str">
        <f aca="false">INDEX($I$1:$N$1,MATCH(MIN(I24:N24),I24:N24,0))</f>
        <v>Legs</v>
      </c>
      <c r="V24" s="28" t="n">
        <f aca="false">INDEX(Parent_Reference!$D$2:$D$16,MATCH(C24,Parent_Reference!$A$2:$A$16,0))</f>
        <v>112.8</v>
      </c>
      <c r="W24" s="28" t="n">
        <f aca="false">INDEX(Parent_Reference!$D$2:$D$16,MATCH(D24,Parent_Reference!$A$2:$A$16,0))</f>
        <v>112</v>
      </c>
      <c r="X24" s="11" t="n">
        <f aca="false">AVERAGE(V24:W24)</f>
        <v>112.4</v>
      </c>
      <c r="Y24" s="10" t="n">
        <f aca="false">COUNTIFS($C$2:$C$41,C24,$O$2:$O$41,"&gt;"&amp;O24)+1</f>
        <v>1</v>
      </c>
      <c r="Z24" s="10" t="str">
        <f aca="false">C24&amp;"|"&amp;Y24</f>
        <v>Cavali by Da Valentio|1</v>
      </c>
      <c r="AA24" s="20" t="n">
        <f aca="false">O24-V24</f>
        <v>0</v>
      </c>
      <c r="AB24" s="10" t="str">
        <f aca="false">INDEX(Horse_Profile!$Q$2:$Q$41,MATCH($A24,Horse_Profile!$A$2:$A$41,0))</f>
        <v>Sex/age mismatch</v>
      </c>
    </row>
    <row r="25" customFormat="false" ht="15" hidden="false" customHeight="false" outlineLevel="0" collapsed="false">
      <c r="A25" s="10" t="s">
        <v>250</v>
      </c>
      <c r="B25" s="10" t="str">
        <f aca="false">INDEX(Horse_Profile!$B$2:$B$41,MATCH($A25,Horse_Profile!$A$2:$A$41,0))</f>
        <v>HA Soraya Amethyst</v>
      </c>
      <c r="C25" s="10" t="str">
        <f aca="false">INDEX(Horse_Profile!$I$2:$I$41,MATCH($A25,Horse_Profile!$A$2:$A$41,0))</f>
        <v>Titan AS</v>
      </c>
      <c r="D25" s="10" t="str">
        <f aca="false">INDEX(Horse_Profile!$K$2:$K$41,MATCH($A25,Horse_Profile!$A$2:$A$41,0))</f>
        <v>El Nabila B</v>
      </c>
      <c r="E25" s="10" t="str">
        <f aca="false">INDEX(Horse_Profile!$D$2:$D$41,MATCH($A25,Horse_Profile!$A$2:$A$41,0))</f>
        <v>Colt</v>
      </c>
      <c r="F25" s="10" t="str">
        <f aca="false">INDEX(Horse_Profile!$F$2:$F$41,MATCH($A25,Horse_Profile!$A$2:$A$41,0))</f>
        <v>Mature</v>
      </c>
      <c r="G25" s="10" t="str">
        <f aca="false">INDEX(Horse_Profile!$L$2:$L$41,MATCH($A25,Horse_Profile!$A$2:$A$41,0))</f>
        <v>American/International</v>
      </c>
      <c r="H25" s="10" t="str">
        <f aca="false">INDEX(Horse_Profile!$M$2:$M$41,MATCH($A25,Horse_Profile!$A$2:$A$41,0))</f>
        <v>Crabbet-influenced</v>
      </c>
      <c r="I25" s="11" t="n">
        <f aca="false">AVERAGEIF(Judge_Scores!$B$2:$B$121,$A25,Judge_Scores!$E$2:$E$121)</f>
        <v>18.2</v>
      </c>
      <c r="J25" s="11" t="n">
        <f aca="false">AVERAGEIF(Judge_Scores!$B$2:$B$121,$A25,Judge_Scores!$F$2:$F$121)</f>
        <v>18.5666666666667</v>
      </c>
      <c r="K25" s="11" t="n">
        <f aca="false">AVERAGEIF(Judge_Scores!$B$2:$B$121,$A25,Judge_Scores!$G$2:$G$121)</f>
        <v>18.0333333333333</v>
      </c>
      <c r="L25" s="11" t="n">
        <f aca="false">AVERAGEIF(Judge_Scores!$B$2:$B$121,$A25,Judge_Scores!$H$2:$H$121)</f>
        <v>17.8666666666667</v>
      </c>
      <c r="M25" s="11" t="n">
        <f aca="false">AVERAGEIF(Judge_Scores!$B$2:$B$121,$A25,Judge_Scores!$I$2:$I$121)</f>
        <v>18.5666666666667</v>
      </c>
      <c r="N25" s="11" t="n">
        <f aca="false">AVERAGEIF(Judge_Scores!$B$2:$B$121,$A25,Judge_Scores!$J$2:$J$121)</f>
        <v>18.9333333333333</v>
      </c>
      <c r="O25" s="11" t="n">
        <f aca="false">AVERAGEIF(Judge_Scores!$B$2:$B$121,$A25,Judge_Scores!$K$2:$K$121)</f>
        <v>110.166666666667</v>
      </c>
      <c r="P25" s="11" t="n">
        <f aca="false">_xlfn.MAXIFS(Judge_Scores!$K$2:$K$121,Judge_Scores!$B$2:$B$121,$A25)-_xlfn.MINIFS(Judge_Scores!$K$2:$K$121,Judge_Scores!$B$2:$B$121,$A25)</f>
        <v>2.29999999999998</v>
      </c>
      <c r="Q25" s="10" t="n">
        <f aca="false">RANK(O25,$O$2:$O$41,0)</f>
        <v>23</v>
      </c>
      <c r="R25" s="10" t="n">
        <f aca="false">Q25+COUNTIF($O$2:O25,O25)-1</f>
        <v>23</v>
      </c>
      <c r="S25" s="10" t="str">
        <f aca="false">IF(O25&gt;=Settings!$B$8,"Elite",IF(O25&gt;=Settings!$B$9,"High",IF(O25&gt;=Settings!$B$10,"Developing","Needs Review")))</f>
        <v>High</v>
      </c>
      <c r="T25" s="10" t="str">
        <f aca="false">INDEX($I$1:$N$1,MATCH(MAX(I25:N25),I25:N25,0))</f>
        <v>Balance</v>
      </c>
      <c r="U25" s="10" t="str">
        <f aca="false">INDEX($I$1:$N$1,MATCH(MIN(I25:N25),I25:N25,0))</f>
        <v>Legs</v>
      </c>
      <c r="V25" s="28" t="n">
        <f aca="false">INDEX(Parent_Reference!$D$2:$D$16,MATCH(C25,Parent_Reference!$A$2:$A$16,0))</f>
        <v>111.3</v>
      </c>
      <c r="W25" s="28" t="n">
        <f aca="false">INDEX(Parent_Reference!$D$2:$D$16,MATCH(D25,Parent_Reference!$A$2:$A$16,0))</f>
        <v>106.5</v>
      </c>
      <c r="X25" s="11" t="n">
        <f aca="false">AVERAGE(V25:W25)</f>
        <v>108.9</v>
      </c>
      <c r="Y25" s="10" t="n">
        <f aca="false">COUNTIFS($C$2:$C$41,C25,$O$2:$O$41,"&gt;"&amp;O25)+1</f>
        <v>1</v>
      </c>
      <c r="Z25" s="10" t="str">
        <f aca="false">C25&amp;"|"&amp;Y25</f>
        <v>Titan AS|1</v>
      </c>
      <c r="AA25" s="20" t="n">
        <f aca="false">O25-V25</f>
        <v>-1.13333333333333</v>
      </c>
      <c r="AB25" s="10" t="str">
        <f aca="false">INDEX(Horse_Profile!$Q$2:$Q$41,MATCH($A25,Horse_Profile!$A$2:$A$41,0))</f>
        <v>Sex/age mismatch</v>
      </c>
    </row>
    <row r="26" customFormat="false" ht="15" hidden="false" customHeight="false" outlineLevel="0" collapsed="false">
      <c r="A26" s="10" t="s">
        <v>253</v>
      </c>
      <c r="B26" s="10" t="str">
        <f aca="false">INDEX(Horse_Profile!$B$2:$B$41,MATCH($A26,Horse_Profile!$A$2:$A$41,0))</f>
        <v>HA Tariq Legacy</v>
      </c>
      <c r="C26" s="10" t="str">
        <f aca="false">INDEX(Horse_Profile!$I$2:$I$41,MATCH($A26,Horse_Profile!$A$2:$A$41,0))</f>
        <v>Van Gogh AM</v>
      </c>
      <c r="D26" s="10" t="str">
        <f aca="false">INDEX(Horse_Profile!$K$2:$K$41,MATCH($A26,Horse_Profile!$A$2:$A$41,0))</f>
        <v>El Nabila B</v>
      </c>
      <c r="E26" s="10" t="str">
        <f aca="false">INDEX(Horse_Profile!$D$2:$D$41,MATCH($A26,Horse_Profile!$A$2:$A$41,0))</f>
        <v>Gelding</v>
      </c>
      <c r="F26" s="10" t="str">
        <f aca="false">INDEX(Horse_Profile!$F$2:$F$41,MATCH($A26,Horse_Profile!$A$2:$A$41,0))</f>
        <v>Mature</v>
      </c>
      <c r="G26" s="10" t="str">
        <f aca="false">INDEX(Horse_Profile!$L$2:$L$41,MATCH($A26,Horse_Profile!$A$2:$A$41,0))</f>
        <v>Brazilian/International</v>
      </c>
      <c r="H26" s="10" t="str">
        <f aca="false">INDEX(Horse_Profile!$M$2:$M$41,MATCH($A26,Horse_Profile!$A$2:$A$41,0))</f>
        <v>Polish</v>
      </c>
      <c r="I26" s="11" t="n">
        <f aca="false">AVERAGEIF(Judge_Scores!$B$2:$B$121,$A26,Judge_Scores!$E$2:$E$121)</f>
        <v>17.9666666666667</v>
      </c>
      <c r="J26" s="11" t="n">
        <f aca="false">AVERAGEIF(Judge_Scores!$B$2:$B$121,$A26,Judge_Scores!$F$2:$F$121)</f>
        <v>17.9333333333333</v>
      </c>
      <c r="K26" s="11" t="n">
        <f aca="false">AVERAGEIF(Judge_Scores!$B$2:$B$121,$A26,Judge_Scores!$G$2:$G$121)</f>
        <v>17.9</v>
      </c>
      <c r="L26" s="11" t="n">
        <f aca="false">AVERAGEIF(Judge_Scores!$B$2:$B$121,$A26,Judge_Scores!$H$2:$H$121)</f>
        <v>18.3666666666667</v>
      </c>
      <c r="M26" s="11" t="n">
        <f aca="false">AVERAGEIF(Judge_Scores!$B$2:$B$121,$A26,Judge_Scores!$I$2:$I$121)</f>
        <v>17.6</v>
      </c>
      <c r="N26" s="11" t="n">
        <f aca="false">AVERAGEIF(Judge_Scores!$B$2:$B$121,$A26,Judge_Scores!$J$2:$J$121)</f>
        <v>18.1333333333333</v>
      </c>
      <c r="O26" s="11" t="n">
        <f aca="false">AVERAGEIF(Judge_Scores!$B$2:$B$121,$A26,Judge_Scores!$K$2:$K$121)</f>
        <v>107.9</v>
      </c>
      <c r="P26" s="11" t="n">
        <f aca="false">_xlfn.MAXIFS(Judge_Scores!$K$2:$K$121,Judge_Scores!$B$2:$B$121,$A26)-_xlfn.MINIFS(Judge_Scores!$K$2:$K$121,Judge_Scores!$B$2:$B$121,$A26)</f>
        <v>1</v>
      </c>
      <c r="Q26" s="10" t="n">
        <f aca="false">RANK(O26,$O$2:$O$41,0)</f>
        <v>30</v>
      </c>
      <c r="R26" s="10" t="n">
        <f aca="false">Q26+COUNTIF($O$2:O26,O26)-1</f>
        <v>30</v>
      </c>
      <c r="S26" s="10" t="str">
        <f aca="false">IF(O26&gt;=Settings!$B$8,"Elite",IF(O26&gt;=Settings!$B$9,"High",IF(O26&gt;=Settings!$B$10,"Developing","Needs Review")))</f>
        <v>High</v>
      </c>
      <c r="T26" s="10" t="str">
        <f aca="false">INDEX($I$1:$N$1,MATCH(MAX(I26:N26),I26:N26,0))</f>
        <v>Legs</v>
      </c>
      <c r="U26" s="10" t="str">
        <f aca="false">INDEX($I$1:$N$1,MATCH(MIN(I26:N26),I26:N26,0))</f>
        <v>Movement</v>
      </c>
      <c r="V26" s="28" t="n">
        <f aca="false">INDEX(Parent_Reference!$D$2:$D$16,MATCH(C26,Parent_Reference!$A$2:$A$16,0))</f>
        <v>111.7</v>
      </c>
      <c r="W26" s="28" t="n">
        <f aca="false">INDEX(Parent_Reference!$D$2:$D$16,MATCH(D26,Parent_Reference!$A$2:$A$16,0))</f>
        <v>106.5</v>
      </c>
      <c r="X26" s="11" t="n">
        <f aca="false">AVERAGE(V26:W26)</f>
        <v>109.1</v>
      </c>
      <c r="Y26" s="10" t="n">
        <f aca="false">COUNTIFS($C$2:$C$41,C26,$O$2:$O$41,"&gt;"&amp;O26)+1</f>
        <v>6</v>
      </c>
      <c r="Z26" s="10" t="str">
        <f aca="false">C26&amp;"|"&amp;Y26</f>
        <v>Van Gogh AM|6</v>
      </c>
      <c r="AA26" s="20" t="n">
        <f aca="false">O26-V26</f>
        <v>-3.79999999999998</v>
      </c>
      <c r="AB26" s="10" t="str">
        <f aca="false">INDEX(Horse_Profile!$Q$2:$Q$41,MATCH($A26,Horse_Profile!$A$2:$A$41,0))</f>
        <v/>
      </c>
    </row>
    <row r="27" customFormat="false" ht="15" hidden="false" customHeight="false" outlineLevel="0" collapsed="false">
      <c r="A27" s="10" t="s">
        <v>257</v>
      </c>
      <c r="B27" s="10" t="str">
        <f aca="false">INDEX(Horse_Profile!$B$2:$B$41,MATCH($A27,Horse_Profile!$A$2:$A$41,0))</f>
        <v>HA Luna Amethyst</v>
      </c>
      <c r="C27" s="10" t="str">
        <f aca="false">INDEX(Horse_Profile!$I$2:$I$41,MATCH($A27,Horse_Profile!$A$2:$A$41,0))</f>
        <v>Abha Qatar</v>
      </c>
      <c r="D27" s="10" t="str">
        <f aca="false">INDEX(Horse_Profile!$K$2:$K$41,MATCH($A27,Horse_Profile!$A$2:$A$41,0))</f>
        <v>Ali Jamaal</v>
      </c>
      <c r="E27" s="10" t="str">
        <f aca="false">INDEX(Horse_Profile!$D$2:$D$41,MATCH($A27,Horse_Profile!$A$2:$A$41,0))</f>
        <v>Mare</v>
      </c>
      <c r="F27" s="10" t="str">
        <f aca="false">INDEX(Horse_Profile!$F$2:$F$41,MATCH($A27,Horse_Profile!$A$2:$A$41,0))</f>
        <v>Mature</v>
      </c>
      <c r="G27" s="10" t="str">
        <f aca="false">INDEX(Horse_Profile!$L$2:$L$41,MATCH($A27,Horse_Profile!$A$2:$A$41,0))</f>
        <v>Qatari/Spanish</v>
      </c>
      <c r="H27" s="10" t="str">
        <f aca="false">INDEX(Horse_Profile!$M$2:$M$41,MATCH($A27,Horse_Profile!$A$2:$A$41,0))</f>
        <v>Polish</v>
      </c>
      <c r="I27" s="11" t="n">
        <f aca="false">AVERAGEIF(Judge_Scores!$B$2:$B$121,$A27,Judge_Scores!$E$2:$E$121)</f>
        <v>18.6333333333333</v>
      </c>
      <c r="J27" s="11" t="n">
        <f aca="false">AVERAGEIF(Judge_Scores!$B$2:$B$121,$A27,Judge_Scores!$F$2:$F$121)</f>
        <v>18.5333333333333</v>
      </c>
      <c r="K27" s="11" t="n">
        <f aca="false">AVERAGEIF(Judge_Scores!$B$2:$B$121,$A27,Judge_Scores!$G$2:$G$121)</f>
        <v>17.0666666666667</v>
      </c>
      <c r="L27" s="11" t="n">
        <f aca="false">AVERAGEIF(Judge_Scores!$B$2:$B$121,$A27,Judge_Scores!$H$2:$H$121)</f>
        <v>18.7666666666667</v>
      </c>
      <c r="M27" s="11" t="n">
        <f aca="false">AVERAGEIF(Judge_Scores!$B$2:$B$121,$A27,Judge_Scores!$I$2:$I$121)</f>
        <v>18.5666666666667</v>
      </c>
      <c r="N27" s="11" t="n">
        <f aca="false">AVERAGEIF(Judge_Scores!$B$2:$B$121,$A27,Judge_Scores!$J$2:$J$121)</f>
        <v>18.8333333333333</v>
      </c>
      <c r="O27" s="11" t="n">
        <f aca="false">AVERAGEIF(Judge_Scores!$B$2:$B$121,$A27,Judge_Scores!$K$2:$K$121)</f>
        <v>110.4</v>
      </c>
      <c r="P27" s="11" t="n">
        <f aca="false">_xlfn.MAXIFS(Judge_Scores!$K$2:$K$121,Judge_Scores!$B$2:$B$121,$A27)-_xlfn.MINIFS(Judge_Scores!$K$2:$K$121,Judge_Scores!$B$2:$B$121,$A27)</f>
        <v>6.90000000000001</v>
      </c>
      <c r="Q27" s="10" t="n">
        <f aca="false">RANK(O27,$O$2:$O$41,0)</f>
        <v>21</v>
      </c>
      <c r="R27" s="10" t="n">
        <f aca="false">Q27+COUNTIF($O$2:O27,O27)-1</f>
        <v>21</v>
      </c>
      <c r="S27" s="10" t="str">
        <f aca="false">IF(O27&gt;=Settings!$B$8,"Elite",IF(O27&gt;=Settings!$B$9,"High",IF(O27&gt;=Settings!$B$10,"Developing","Needs Review")))</f>
        <v>High</v>
      </c>
      <c r="T27" s="10" t="str">
        <f aca="false">INDEX($I$1:$N$1,MATCH(MAX(I27:N27),I27:N27,0))</f>
        <v>Balance</v>
      </c>
      <c r="U27" s="10" t="str">
        <f aca="false">INDEX($I$1:$N$1,MATCH(MIN(I27:N27),I27:N27,0))</f>
        <v>Body_Topline</v>
      </c>
      <c r="V27" s="28" t="n">
        <f aca="false">INDEX(Parent_Reference!$D$2:$D$16,MATCH(C27,Parent_Reference!$A$2:$A$16,0))</f>
        <v>112.9</v>
      </c>
      <c r="W27" s="28" t="n">
        <f aca="false">INDEX(Parent_Reference!$D$2:$D$16,MATCH(D27,Parent_Reference!$A$2:$A$16,0))</f>
        <v>109.7</v>
      </c>
      <c r="X27" s="11" t="n">
        <f aca="false">AVERAGE(V27:W27)</f>
        <v>111.3</v>
      </c>
      <c r="Y27" s="10" t="n">
        <f aca="false">COUNTIFS($C$2:$C$41,C27,$O$2:$O$41,"&gt;"&amp;O27)+1</f>
        <v>3</v>
      </c>
      <c r="Z27" s="10" t="str">
        <f aca="false">C27&amp;"|"&amp;Y27</f>
        <v>Abha Qatar|3</v>
      </c>
      <c r="AA27" s="20" t="n">
        <f aca="false">O27-V27</f>
        <v>-2.50000000000001</v>
      </c>
      <c r="AB27" s="10" t="str">
        <f aca="false">INDEX(Horse_Profile!$Q$2:$Q$41,MATCH($A27,Horse_Profile!$A$2:$A$41,0))</f>
        <v/>
      </c>
    </row>
    <row r="28" customFormat="false" ht="15" hidden="false" customHeight="false" outlineLevel="0" collapsed="false">
      <c r="A28" s="10" t="s">
        <v>261</v>
      </c>
      <c r="B28" s="10" t="str">
        <f aca="false">INDEX(Horse_Profile!$B$2:$B$41,MATCH($A28,Horse_Profile!$A$2:$A$41,0))</f>
        <v>HA Hakim Amethyst</v>
      </c>
      <c r="C28" s="10" t="str">
        <f aca="false">INDEX(Horse_Profile!$I$2:$I$41,MATCH($A28,Horse_Profile!$A$2:$A$41,0))</f>
        <v>Cavali by Da Valentio</v>
      </c>
      <c r="D28" s="10" t="str">
        <f aca="false">INDEX(Horse_Profile!$K$2:$K$41,MATCH($A28,Horse_Profile!$A$2:$A$41,0))</f>
        <v>Bey Shah</v>
      </c>
      <c r="E28" s="10" t="str">
        <f aca="false">INDEX(Horse_Profile!$D$2:$D$41,MATCH($A28,Horse_Profile!$A$2:$A$41,0))</f>
        <v>Gelding</v>
      </c>
      <c r="F28" s="10" t="str">
        <f aca="false">INDEX(Horse_Profile!$F$2:$F$41,MATCH($A28,Horse_Profile!$A$2:$A$41,0))</f>
        <v>Junior</v>
      </c>
      <c r="G28" s="10" t="str">
        <f aca="false">INDEX(Horse_Profile!$L$2:$L$41,MATCH($A28,Horse_Profile!$A$2:$A$41,0))</f>
        <v>Valentino/International</v>
      </c>
      <c r="H28" s="10" t="str">
        <f aca="false">INDEX(Horse_Profile!$M$2:$M$41,MATCH($A28,Horse_Profile!$A$2:$A$41,0))</f>
        <v>International</v>
      </c>
      <c r="I28" s="11" t="n">
        <f aca="false">AVERAGEIF(Judge_Scores!$B$2:$B$121,$A28,Judge_Scores!$E$2:$E$121)</f>
        <v>18.6666666666667</v>
      </c>
      <c r="J28" s="11" t="n">
        <f aca="false">AVERAGEIF(Judge_Scores!$B$2:$B$121,$A28,Judge_Scores!$F$2:$F$121)</f>
        <v>18.6333333333333</v>
      </c>
      <c r="K28" s="11" t="n">
        <f aca="false">AVERAGEIF(Judge_Scores!$B$2:$B$121,$A28,Judge_Scores!$G$2:$G$121)</f>
        <v>18.3</v>
      </c>
      <c r="L28" s="11" t="n">
        <f aca="false">AVERAGEIF(Judge_Scores!$B$2:$B$121,$A28,Judge_Scores!$H$2:$H$121)</f>
        <v>17.7</v>
      </c>
      <c r="M28" s="11" t="n">
        <f aca="false">AVERAGEIF(Judge_Scores!$B$2:$B$121,$A28,Judge_Scores!$I$2:$I$121)</f>
        <v>18.6666666666667</v>
      </c>
      <c r="N28" s="11" t="n">
        <f aca="false">AVERAGEIF(Judge_Scores!$B$2:$B$121,$A28,Judge_Scores!$J$2:$J$121)</f>
        <v>18.7666666666667</v>
      </c>
      <c r="O28" s="11" t="n">
        <f aca="false">AVERAGEIF(Judge_Scores!$B$2:$B$121,$A28,Judge_Scores!$K$2:$K$121)</f>
        <v>110.733333333333</v>
      </c>
      <c r="P28" s="11" t="n">
        <f aca="false">_xlfn.MAXIFS(Judge_Scores!$K$2:$K$121,Judge_Scores!$B$2:$B$121,$A28)-_xlfn.MINIFS(Judge_Scores!$K$2:$K$121,Judge_Scores!$B$2:$B$121,$A28)</f>
        <v>1.30000000000001</v>
      </c>
      <c r="Q28" s="10" t="n">
        <f aca="false">RANK(O28,$O$2:$O$41,0)</f>
        <v>17</v>
      </c>
      <c r="R28" s="10" t="n">
        <f aca="false">Q28+COUNTIF($O$2:O28,O28)-1</f>
        <v>17</v>
      </c>
      <c r="S28" s="10" t="str">
        <f aca="false">IF(O28&gt;=Settings!$B$8,"Elite",IF(O28&gt;=Settings!$B$9,"High",IF(O28&gt;=Settings!$B$10,"Developing","Needs Review")))</f>
        <v>High</v>
      </c>
      <c r="T28" s="10" t="str">
        <f aca="false">INDEX($I$1:$N$1,MATCH(MAX(I28:N28),I28:N28,0))</f>
        <v>Balance</v>
      </c>
      <c r="U28" s="10" t="str">
        <f aca="false">INDEX($I$1:$N$1,MATCH(MIN(I28:N28),I28:N28,0))</f>
        <v>Legs</v>
      </c>
      <c r="V28" s="28" t="n">
        <f aca="false">INDEX(Parent_Reference!$D$2:$D$16,MATCH(C28,Parent_Reference!$A$2:$A$16,0))</f>
        <v>112.8</v>
      </c>
      <c r="W28" s="28" t="n">
        <f aca="false">INDEX(Parent_Reference!$D$2:$D$16,MATCH(D28,Parent_Reference!$A$2:$A$16,0))</f>
        <v>111.5</v>
      </c>
      <c r="X28" s="11" t="n">
        <f aca="false">AVERAGE(V28:W28)</f>
        <v>112.15</v>
      </c>
      <c r="Y28" s="10" t="n">
        <f aca="false">COUNTIFS($C$2:$C$41,C28,$O$2:$O$41,"&gt;"&amp;O28)+1</f>
        <v>7</v>
      </c>
      <c r="Z28" s="10" t="str">
        <f aca="false">C28&amp;"|"&amp;Y28</f>
        <v>Cavali by Da Valentio|7</v>
      </c>
      <c r="AA28" s="20" t="n">
        <f aca="false">O28-V28</f>
        <v>-2.06666666666666</v>
      </c>
      <c r="AB28" s="10" t="str">
        <f aca="false">INDEX(Horse_Profile!$Q$2:$Q$41,MATCH($A28,Horse_Profile!$A$2:$A$41,0))</f>
        <v/>
      </c>
    </row>
    <row r="29" customFormat="false" ht="15" hidden="false" customHeight="false" outlineLevel="0" collapsed="false">
      <c r="A29" s="10" t="s">
        <v>266</v>
      </c>
      <c r="B29" s="10" t="str">
        <f aca="false">INDEX(Horse_Profile!$B$2:$B$41,MATCH($A29,Horse_Profile!$A$2:$A$41,0))</f>
        <v>HA Nashira Royal Flame</v>
      </c>
      <c r="C29" s="10" t="str">
        <f aca="false">INDEX(Horse_Profile!$I$2:$I$41,MATCH($A29,Horse_Profile!$A$2:$A$41,0))</f>
        <v>Cavali by Da Valentio</v>
      </c>
      <c r="D29" s="10" t="str">
        <f aca="false">INDEX(Horse_Profile!$K$2:$K$41,MATCH($A29,Horse_Profile!$A$2:$A$41,0))</f>
        <v>Gazal Al Shaqab</v>
      </c>
      <c r="E29" s="10" t="str">
        <f aca="false">INDEX(Horse_Profile!$D$2:$D$41,MATCH($A29,Horse_Profile!$A$2:$A$41,0))</f>
        <v>Colt</v>
      </c>
      <c r="F29" s="10" t="str">
        <f aca="false">INDEX(Horse_Profile!$F$2:$F$41,MATCH($A29,Horse_Profile!$A$2:$A$41,0))</f>
        <v>Mature</v>
      </c>
      <c r="G29" s="10" t="str">
        <f aca="false">INDEX(Horse_Profile!$L$2:$L$41,MATCH($A29,Horse_Profile!$A$2:$A$41,0))</f>
        <v>Valentino/International</v>
      </c>
      <c r="H29" s="10" t="str">
        <f aca="false">INDEX(Horse_Profile!$M$2:$M$41,MATCH($A29,Horse_Profile!$A$2:$A$41,0))</f>
        <v>Egyptian-influenced</v>
      </c>
      <c r="I29" s="11" t="n">
        <f aca="false">AVERAGEIF(Judge_Scores!$B$2:$B$121,$A29,Judge_Scores!$E$2:$E$121)</f>
        <v>19.8</v>
      </c>
      <c r="J29" s="11" t="n">
        <f aca="false">AVERAGEIF(Judge_Scores!$B$2:$B$121,$A29,Judge_Scores!$F$2:$F$121)</f>
        <v>18.7</v>
      </c>
      <c r="K29" s="11" t="n">
        <f aca="false">AVERAGEIF(Judge_Scores!$B$2:$B$121,$A29,Judge_Scores!$G$2:$G$121)</f>
        <v>17.7</v>
      </c>
      <c r="L29" s="11" t="n">
        <f aca="false">AVERAGEIF(Judge_Scores!$B$2:$B$121,$A29,Judge_Scores!$H$2:$H$121)</f>
        <v>17.8666666666667</v>
      </c>
      <c r="M29" s="11" t="n">
        <f aca="false">AVERAGEIF(Judge_Scores!$B$2:$B$121,$A29,Judge_Scores!$I$2:$I$121)</f>
        <v>18.9333333333333</v>
      </c>
      <c r="N29" s="11" t="n">
        <f aca="false">AVERAGEIF(Judge_Scores!$B$2:$B$121,$A29,Judge_Scores!$J$2:$J$121)</f>
        <v>19.1333333333333</v>
      </c>
      <c r="O29" s="11" t="n">
        <f aca="false">AVERAGEIF(Judge_Scores!$B$2:$B$121,$A29,Judge_Scores!$K$2:$K$121)</f>
        <v>112.133333333333</v>
      </c>
      <c r="P29" s="11" t="n">
        <f aca="false">_xlfn.MAXIFS(Judge_Scores!$K$2:$K$121,Judge_Scores!$B$2:$B$121,$A29)-_xlfn.MINIFS(Judge_Scores!$K$2:$K$121,Judge_Scores!$B$2:$B$121,$A29)</f>
        <v>2.09999999999999</v>
      </c>
      <c r="Q29" s="10" t="n">
        <f aca="false">RANK(O29,$O$2:$O$41,0)</f>
        <v>9</v>
      </c>
      <c r="R29" s="10" t="n">
        <f aca="false">Q29+COUNTIF($O$2:O29,O29)-1</f>
        <v>10</v>
      </c>
      <c r="S29" s="10" t="str">
        <f aca="false">IF(O29&gt;=Settings!$B$8,"Elite",IF(O29&gt;=Settings!$B$9,"High",IF(O29&gt;=Settings!$B$10,"Developing","Needs Review")))</f>
        <v>Elite</v>
      </c>
      <c r="T29" s="10" t="str">
        <f aca="false">INDEX($I$1:$N$1,MATCH(MAX(I29:N29),I29:N29,0))</f>
        <v>Type</v>
      </c>
      <c r="U29" s="10" t="str">
        <f aca="false">INDEX($I$1:$N$1,MATCH(MIN(I29:N29),I29:N29,0))</f>
        <v>Body_Topline</v>
      </c>
      <c r="V29" s="28" t="n">
        <f aca="false">INDEX(Parent_Reference!$D$2:$D$16,MATCH(C29,Parent_Reference!$A$2:$A$16,0))</f>
        <v>112.8</v>
      </c>
      <c r="W29" s="28" t="n">
        <f aca="false">INDEX(Parent_Reference!$D$2:$D$16,MATCH(D29,Parent_Reference!$A$2:$A$16,0))</f>
        <v>107.6</v>
      </c>
      <c r="X29" s="11" t="n">
        <f aca="false">AVERAGE(V29:W29)</f>
        <v>110.2</v>
      </c>
      <c r="Y29" s="10" t="n">
        <f aca="false">COUNTIFS($C$2:$C$41,C29,$O$2:$O$41,"&gt;"&amp;O29)+1</f>
        <v>4</v>
      </c>
      <c r="Z29" s="10" t="str">
        <f aca="false">C29&amp;"|"&amp;Y29</f>
        <v>Cavali by Da Valentio|4</v>
      </c>
      <c r="AA29" s="20" t="n">
        <f aca="false">O29-V29</f>
        <v>-0.666666666666671</v>
      </c>
      <c r="AB29" s="10" t="str">
        <f aca="false">INDEX(Horse_Profile!$Q$2:$Q$41,MATCH($A29,Horse_Profile!$A$2:$A$41,0))</f>
        <v>Sex/age mismatch</v>
      </c>
    </row>
    <row r="30" customFormat="false" ht="15" hidden="false" customHeight="false" outlineLevel="0" collapsed="false">
      <c r="A30" s="10" t="s">
        <v>270</v>
      </c>
      <c r="B30" s="10" t="str">
        <f aca="false">INDEX(Horse_Profile!$B$2:$B$41,MATCH($A30,Horse_Profile!$A$2:$A$41,0))</f>
        <v>HA Rahma Al Jannat</v>
      </c>
      <c r="C30" s="10" t="str">
        <f aca="false">INDEX(Horse_Profile!$I$2:$I$41,MATCH($A30,Horse_Profile!$A$2:$A$41,0))</f>
        <v>Pogrom</v>
      </c>
      <c r="D30" s="10" t="str">
        <f aca="false">INDEX(Horse_Profile!$K$2:$K$41,MATCH($A30,Horse_Profile!$A$2:$A$41,0))</f>
        <v>Ali Jamaal</v>
      </c>
      <c r="E30" s="10" t="str">
        <f aca="false">INDEX(Horse_Profile!$D$2:$D$41,MATCH($A30,Horse_Profile!$A$2:$A$41,0))</f>
        <v>Gelding</v>
      </c>
      <c r="F30" s="10" t="str">
        <f aca="false">INDEX(Horse_Profile!$F$2:$F$41,MATCH($A30,Horse_Profile!$A$2:$A$41,0))</f>
        <v>Mature</v>
      </c>
      <c r="G30" s="10" t="str">
        <f aca="false">INDEX(Horse_Profile!$L$2:$L$41,MATCH($A30,Horse_Profile!$A$2:$A$41,0))</f>
        <v>Polish/International</v>
      </c>
      <c r="H30" s="10" t="str">
        <f aca="false">INDEX(Horse_Profile!$M$2:$M$41,MATCH($A30,Horse_Profile!$A$2:$A$41,0))</f>
        <v>Domestic</v>
      </c>
      <c r="I30" s="11" t="n">
        <f aca="false">AVERAGEIF(Judge_Scores!$B$2:$B$121,$A30,Judge_Scores!$E$2:$E$121)</f>
        <v>18.5666666666667</v>
      </c>
      <c r="J30" s="11" t="n">
        <f aca="false">AVERAGEIF(Judge_Scores!$B$2:$B$121,$A30,Judge_Scores!$F$2:$F$121)</f>
        <v>17.9666666666667</v>
      </c>
      <c r="K30" s="11" t="n">
        <f aca="false">AVERAGEIF(Judge_Scores!$B$2:$B$121,$A30,Judge_Scores!$G$2:$G$121)</f>
        <v>19.4</v>
      </c>
      <c r="L30" s="11" t="n">
        <f aca="false">AVERAGEIF(Judge_Scores!$B$2:$B$121,$A30,Judge_Scores!$H$2:$H$121)</f>
        <v>18.4666666666667</v>
      </c>
      <c r="M30" s="11" t="n">
        <f aca="false">AVERAGEIF(Judge_Scores!$B$2:$B$121,$A30,Judge_Scores!$I$2:$I$121)</f>
        <v>19.7</v>
      </c>
      <c r="N30" s="11" t="n">
        <f aca="false">AVERAGEIF(Judge_Scores!$B$2:$B$121,$A30,Judge_Scores!$J$2:$J$121)</f>
        <v>18.8333333333333</v>
      </c>
      <c r="O30" s="11" t="n">
        <f aca="false">AVERAGEIF(Judge_Scores!$B$2:$B$121,$A30,Judge_Scores!$K$2:$K$121)</f>
        <v>112.933333333333</v>
      </c>
      <c r="P30" s="11" t="n">
        <f aca="false">_xlfn.MAXIFS(Judge_Scores!$K$2:$K$121,Judge_Scores!$B$2:$B$121,$A30)-_xlfn.MINIFS(Judge_Scores!$K$2:$K$121,Judge_Scores!$B$2:$B$121,$A30)</f>
        <v>5.69999999999999</v>
      </c>
      <c r="Q30" s="10" t="n">
        <f aca="false">RANK(O30,$O$2:$O$41,0)</f>
        <v>5</v>
      </c>
      <c r="R30" s="10" t="n">
        <f aca="false">Q30+COUNTIF($O$2:O30,O30)-1</f>
        <v>5</v>
      </c>
      <c r="S30" s="10" t="str">
        <f aca="false">IF(O30&gt;=Settings!$B$8,"Elite",IF(O30&gt;=Settings!$B$9,"High",IF(O30&gt;=Settings!$B$10,"Developing","Needs Review")))</f>
        <v>Elite</v>
      </c>
      <c r="T30" s="10" t="str">
        <f aca="false">INDEX($I$1:$N$1,MATCH(MAX(I30:N30),I30:N30,0))</f>
        <v>Movement</v>
      </c>
      <c r="U30" s="10" t="str">
        <f aca="false">INDEX($I$1:$N$1,MATCH(MIN(I30:N30),I30:N30,0))</f>
        <v>Head_Neck</v>
      </c>
      <c r="V30" s="28" t="n">
        <f aca="false">INDEX(Parent_Reference!$D$2:$D$16,MATCH(C30,Parent_Reference!$A$2:$A$16,0))</f>
        <v>112.7</v>
      </c>
      <c r="W30" s="28" t="n">
        <f aca="false">INDEX(Parent_Reference!$D$2:$D$16,MATCH(D30,Parent_Reference!$A$2:$A$16,0))</f>
        <v>109.7</v>
      </c>
      <c r="X30" s="11" t="n">
        <f aca="false">AVERAGE(V30:W30)</f>
        <v>111.2</v>
      </c>
      <c r="Y30" s="10" t="n">
        <f aca="false">COUNTIFS($C$2:$C$41,C30,$O$2:$O$41,"&gt;"&amp;O30)+1</f>
        <v>5</v>
      </c>
      <c r="Z30" s="10" t="str">
        <f aca="false">C30&amp;"|"&amp;Y30</f>
        <v>Pogrom|5</v>
      </c>
      <c r="AA30" s="20" t="n">
        <f aca="false">O30-V30</f>
        <v>0.233333333333334</v>
      </c>
      <c r="AB30" s="10" t="str">
        <f aca="false">INDEX(Horse_Profile!$Q$2:$Q$41,MATCH($A30,Horse_Profile!$A$2:$A$41,0))</f>
        <v/>
      </c>
    </row>
    <row r="31" customFormat="false" ht="15" hidden="false" customHeight="false" outlineLevel="0" collapsed="false">
      <c r="A31" s="10" t="s">
        <v>273</v>
      </c>
      <c r="B31" s="10" t="str">
        <f aca="false">INDEX(Horse_Profile!$B$2:$B$41,MATCH($A31,Horse_Profile!$A$2:$A$41,0))</f>
        <v>HA Zayd Royal Flame</v>
      </c>
      <c r="C31" s="10" t="str">
        <f aca="false">INDEX(Horse_Profile!$I$2:$I$41,MATCH($A31,Horse_Profile!$A$2:$A$41,0))</f>
        <v>Pogrom</v>
      </c>
      <c r="D31" s="10" t="str">
        <f aca="false">INDEX(Horse_Profile!$K$2:$K$41,MATCH($A31,Horse_Profile!$A$2:$A$41,0))</f>
        <v>Gazal Al Shaqab</v>
      </c>
      <c r="E31" s="10" t="str">
        <f aca="false">INDEX(Horse_Profile!$D$2:$D$41,MATCH($A31,Horse_Profile!$A$2:$A$41,0))</f>
        <v>Filly</v>
      </c>
      <c r="F31" s="10" t="str">
        <f aca="false">INDEX(Horse_Profile!$F$2:$F$41,MATCH($A31,Horse_Profile!$A$2:$A$41,0))</f>
        <v>Junior</v>
      </c>
      <c r="G31" s="10" t="str">
        <f aca="false">INDEX(Horse_Profile!$L$2:$L$41,MATCH($A31,Horse_Profile!$A$2:$A$41,0))</f>
        <v>Polish/International</v>
      </c>
      <c r="H31" s="10" t="str">
        <f aca="false">INDEX(Horse_Profile!$M$2:$M$41,MATCH($A31,Horse_Profile!$A$2:$A$41,0))</f>
        <v>Polish</v>
      </c>
      <c r="I31" s="11" t="n">
        <f aca="false">AVERAGEIF(Judge_Scores!$B$2:$B$121,$A31,Judge_Scores!$E$2:$E$121)</f>
        <v>17.3666666666667</v>
      </c>
      <c r="J31" s="11" t="n">
        <f aca="false">AVERAGEIF(Judge_Scores!$B$2:$B$121,$A31,Judge_Scores!$F$2:$F$121)</f>
        <v>17.6666666666667</v>
      </c>
      <c r="K31" s="11" t="n">
        <f aca="false">AVERAGEIF(Judge_Scores!$B$2:$B$121,$A31,Judge_Scores!$G$2:$G$121)</f>
        <v>19.2</v>
      </c>
      <c r="L31" s="11" t="n">
        <f aca="false">AVERAGEIF(Judge_Scores!$B$2:$B$121,$A31,Judge_Scores!$H$2:$H$121)</f>
        <v>18.3</v>
      </c>
      <c r="M31" s="11" t="n">
        <f aca="false">AVERAGEIF(Judge_Scores!$B$2:$B$121,$A31,Judge_Scores!$I$2:$I$121)</f>
        <v>19.5333333333333</v>
      </c>
      <c r="N31" s="11" t="n">
        <f aca="false">AVERAGEIF(Judge_Scores!$B$2:$B$121,$A31,Judge_Scores!$J$2:$J$121)</f>
        <v>18.3666666666667</v>
      </c>
      <c r="O31" s="11" t="n">
        <f aca="false">AVERAGEIF(Judge_Scores!$B$2:$B$121,$A31,Judge_Scores!$K$2:$K$121)</f>
        <v>110.433333333333</v>
      </c>
      <c r="P31" s="11" t="n">
        <f aca="false">_xlfn.MAXIFS(Judge_Scores!$K$2:$K$121,Judge_Scores!$B$2:$B$121,$A31)-_xlfn.MINIFS(Judge_Scores!$K$2:$K$121,Judge_Scores!$B$2:$B$121,$A31)</f>
        <v>4.00000000000001</v>
      </c>
      <c r="Q31" s="10" t="n">
        <f aca="false">RANK(O31,$O$2:$O$41,0)</f>
        <v>20</v>
      </c>
      <c r="R31" s="10" t="n">
        <f aca="false">Q31+COUNTIF($O$2:O31,O31)-1</f>
        <v>20</v>
      </c>
      <c r="S31" s="10" t="str">
        <f aca="false">IF(O31&gt;=Settings!$B$8,"Elite",IF(O31&gt;=Settings!$B$9,"High",IF(O31&gt;=Settings!$B$10,"Developing","Needs Review")))</f>
        <v>High</v>
      </c>
      <c r="T31" s="10" t="str">
        <f aca="false">INDEX($I$1:$N$1,MATCH(MAX(I31:N31),I31:N31,0))</f>
        <v>Movement</v>
      </c>
      <c r="U31" s="10" t="str">
        <f aca="false">INDEX($I$1:$N$1,MATCH(MIN(I31:N31),I31:N31,0))</f>
        <v>Type</v>
      </c>
      <c r="V31" s="28" t="n">
        <f aca="false">INDEX(Parent_Reference!$D$2:$D$16,MATCH(C31,Parent_Reference!$A$2:$A$16,0))</f>
        <v>112.7</v>
      </c>
      <c r="W31" s="28" t="n">
        <f aca="false">INDEX(Parent_Reference!$D$2:$D$16,MATCH(D31,Parent_Reference!$A$2:$A$16,0))</f>
        <v>107.6</v>
      </c>
      <c r="X31" s="11" t="n">
        <f aca="false">AVERAGE(V31:W31)</f>
        <v>110.15</v>
      </c>
      <c r="Y31" s="10" t="n">
        <f aca="false">COUNTIFS($C$2:$C$41,C31,$O$2:$O$41,"&gt;"&amp;O31)+1</f>
        <v>9</v>
      </c>
      <c r="Z31" s="10" t="str">
        <f aca="false">C31&amp;"|"&amp;Y31</f>
        <v>Pogrom|9</v>
      </c>
      <c r="AA31" s="20" t="n">
        <f aca="false">O31-V31</f>
        <v>-2.26666666666668</v>
      </c>
      <c r="AB31" s="10" t="str">
        <f aca="false">INDEX(Horse_Profile!$Q$2:$Q$41,MATCH($A31,Horse_Profile!$A$2:$A$41,0))</f>
        <v/>
      </c>
    </row>
    <row r="32" customFormat="false" ht="15" hidden="false" customHeight="false" outlineLevel="0" collapsed="false">
      <c r="A32" s="10" t="s">
        <v>277</v>
      </c>
      <c r="B32" s="10" t="str">
        <f aca="false">INDEX(Horse_Profile!$B$2:$B$41,MATCH($A32,Horse_Profile!$A$2:$A$41,0))</f>
        <v>HA Mira Valentino</v>
      </c>
      <c r="C32" s="10" t="str">
        <f aca="false">INDEX(Horse_Profile!$I$2:$I$41,MATCH($A32,Horse_Profile!$A$2:$A$41,0))</f>
        <v>Cavali by Da Valentio</v>
      </c>
      <c r="D32" s="10" t="str">
        <f aca="false">INDEX(Horse_Profile!$K$2:$K$41,MATCH($A32,Horse_Profile!$A$2:$A$41,0))</f>
        <v>Versace</v>
      </c>
      <c r="E32" s="10" t="str">
        <f aca="false">INDEX(Horse_Profile!$D$2:$D$41,MATCH($A32,Horse_Profile!$A$2:$A$41,0))</f>
        <v>Colt</v>
      </c>
      <c r="F32" s="10" t="str">
        <f aca="false">INDEX(Horse_Profile!$F$2:$F$41,MATCH($A32,Horse_Profile!$A$2:$A$41,0))</f>
        <v>Mature</v>
      </c>
      <c r="G32" s="10" t="str">
        <f aca="false">INDEX(Horse_Profile!$L$2:$L$41,MATCH($A32,Horse_Profile!$A$2:$A$41,0))</f>
        <v>Valentino/International</v>
      </c>
      <c r="H32" s="10" t="str">
        <f aca="false">INDEX(Horse_Profile!$M$2:$M$41,MATCH($A32,Horse_Profile!$A$2:$A$41,0))</f>
        <v>International</v>
      </c>
      <c r="I32" s="11" t="n">
        <f aca="false">AVERAGEIF(Judge_Scores!$B$2:$B$121,$A32,Judge_Scores!$E$2:$E$121)</f>
        <v>19.4333333333333</v>
      </c>
      <c r="J32" s="11" t="n">
        <f aca="false">AVERAGEIF(Judge_Scores!$B$2:$B$121,$A32,Judge_Scores!$F$2:$F$121)</f>
        <v>19.1</v>
      </c>
      <c r="K32" s="11" t="n">
        <f aca="false">AVERAGEIF(Judge_Scores!$B$2:$B$121,$A32,Judge_Scores!$G$2:$G$121)</f>
        <v>18.8333333333333</v>
      </c>
      <c r="L32" s="11" t="n">
        <f aca="false">AVERAGEIF(Judge_Scores!$B$2:$B$121,$A32,Judge_Scores!$H$2:$H$121)</f>
        <v>18.9</v>
      </c>
      <c r="M32" s="11" t="n">
        <f aca="false">AVERAGEIF(Judge_Scores!$B$2:$B$121,$A32,Judge_Scores!$I$2:$I$121)</f>
        <v>17.9666666666667</v>
      </c>
      <c r="N32" s="11" t="n">
        <f aca="false">AVERAGEIF(Judge_Scores!$B$2:$B$121,$A32,Judge_Scores!$J$2:$J$121)</f>
        <v>18.5</v>
      </c>
      <c r="O32" s="11" t="n">
        <f aca="false">AVERAGEIF(Judge_Scores!$B$2:$B$121,$A32,Judge_Scores!$K$2:$K$121)</f>
        <v>112.733333333333</v>
      </c>
      <c r="P32" s="11" t="n">
        <f aca="false">_xlfn.MAXIFS(Judge_Scores!$K$2:$K$121,Judge_Scores!$B$2:$B$121,$A32)-_xlfn.MINIFS(Judge_Scores!$K$2:$K$121,Judge_Scores!$B$2:$B$121,$A32)</f>
        <v>0.899999999999992</v>
      </c>
      <c r="Q32" s="10" t="n">
        <f aca="false">RANK(O32,$O$2:$O$41,0)</f>
        <v>7</v>
      </c>
      <c r="R32" s="10" t="n">
        <f aca="false">Q32+COUNTIF($O$2:O32,O32)-1</f>
        <v>7</v>
      </c>
      <c r="S32" s="10" t="str">
        <f aca="false">IF(O32&gt;=Settings!$B$8,"Elite",IF(O32&gt;=Settings!$B$9,"High",IF(O32&gt;=Settings!$B$10,"Developing","Needs Review")))</f>
        <v>Elite</v>
      </c>
      <c r="T32" s="10" t="str">
        <f aca="false">INDEX($I$1:$N$1,MATCH(MAX(I32:N32),I32:N32,0))</f>
        <v>Type</v>
      </c>
      <c r="U32" s="10" t="str">
        <f aca="false">INDEX($I$1:$N$1,MATCH(MIN(I32:N32),I32:N32,0))</f>
        <v>Movement</v>
      </c>
      <c r="V32" s="28" t="n">
        <f aca="false">INDEX(Parent_Reference!$D$2:$D$16,MATCH(C32,Parent_Reference!$A$2:$A$16,0))</f>
        <v>112.8</v>
      </c>
      <c r="W32" s="28" t="n">
        <f aca="false">INDEX(Parent_Reference!$D$2:$D$16,MATCH(D32,Parent_Reference!$A$2:$A$16,0))</f>
        <v>106.3</v>
      </c>
      <c r="X32" s="11" t="n">
        <f aca="false">AVERAGE(V32:W32)</f>
        <v>109.55</v>
      </c>
      <c r="Y32" s="10" t="n">
        <f aca="false">COUNTIFS($C$2:$C$41,C32,$O$2:$O$41,"&gt;"&amp;O32)+1</f>
        <v>2</v>
      </c>
      <c r="Z32" s="10" t="str">
        <f aca="false">C32&amp;"|"&amp;Y32</f>
        <v>Cavali by Da Valentio|2</v>
      </c>
      <c r="AA32" s="20" t="n">
        <f aca="false">O32-V32</f>
        <v>-0.0666666666666629</v>
      </c>
      <c r="AB32" s="10" t="str">
        <f aca="false">INDEX(Horse_Profile!$Q$2:$Q$41,MATCH($A32,Horse_Profile!$A$2:$A$41,0))</f>
        <v>Sex/age mismatch</v>
      </c>
    </row>
    <row r="33" customFormat="false" ht="15" hidden="false" customHeight="false" outlineLevel="0" collapsed="false">
      <c r="A33" s="10" t="s">
        <v>281</v>
      </c>
      <c r="B33" s="10" t="str">
        <f aca="false">INDEX(Horse_Profile!$B$2:$B$41,MATCH($A33,Horse_Profile!$A$2:$A$41,0))</f>
        <v>HA Kamal Al Jannat</v>
      </c>
      <c r="C33" s="10" t="str">
        <f aca="false">INDEX(Horse_Profile!$I$2:$I$41,MATCH($A33,Horse_Profile!$A$2:$A$41,0))</f>
        <v>Titan AS</v>
      </c>
      <c r="D33" s="10" t="str">
        <f aca="false">INDEX(Horse_Profile!$K$2:$K$41,MATCH($A33,Horse_Profile!$A$2:$A$41,0))</f>
        <v>Magnum Psyche</v>
      </c>
      <c r="E33" s="10" t="str">
        <f aca="false">INDEX(Horse_Profile!$D$2:$D$41,MATCH($A33,Horse_Profile!$A$2:$A$41,0))</f>
        <v>Mare</v>
      </c>
      <c r="F33" s="10" t="str">
        <f aca="false">INDEX(Horse_Profile!$F$2:$F$41,MATCH($A33,Horse_Profile!$A$2:$A$41,0))</f>
        <v>Mature</v>
      </c>
      <c r="G33" s="10" t="str">
        <f aca="false">INDEX(Horse_Profile!$L$2:$L$41,MATCH($A33,Horse_Profile!$A$2:$A$41,0))</f>
        <v>American/International</v>
      </c>
      <c r="H33" s="10" t="str">
        <f aca="false">INDEX(Horse_Profile!$M$2:$M$41,MATCH($A33,Horse_Profile!$A$2:$A$41,0))</f>
        <v>Spanish</v>
      </c>
      <c r="I33" s="11" t="n">
        <f aca="false">AVERAGEIF(Judge_Scores!$B$2:$B$121,$A33,Judge_Scores!$E$2:$E$121)</f>
        <v>16.9666666666667</v>
      </c>
      <c r="J33" s="11" t="n">
        <f aca="false">AVERAGEIF(Judge_Scores!$B$2:$B$121,$A33,Judge_Scores!$F$2:$F$121)</f>
        <v>18.2666666666667</v>
      </c>
      <c r="K33" s="11" t="n">
        <f aca="false">AVERAGEIF(Judge_Scores!$B$2:$B$121,$A33,Judge_Scores!$G$2:$G$121)</f>
        <v>18.6666666666667</v>
      </c>
      <c r="L33" s="11" t="n">
        <f aca="false">AVERAGEIF(Judge_Scores!$B$2:$B$121,$A33,Judge_Scores!$H$2:$H$121)</f>
        <v>18.1333333333333</v>
      </c>
      <c r="M33" s="11" t="n">
        <f aca="false">AVERAGEIF(Judge_Scores!$B$2:$B$121,$A33,Judge_Scores!$I$2:$I$121)</f>
        <v>17.3666666666667</v>
      </c>
      <c r="N33" s="11" t="n">
        <f aca="false">AVERAGEIF(Judge_Scores!$B$2:$B$121,$A33,Judge_Scores!$J$2:$J$121)</f>
        <v>17.9</v>
      </c>
      <c r="O33" s="11" t="n">
        <f aca="false">AVERAGEIF(Judge_Scores!$B$2:$B$121,$A33,Judge_Scores!$K$2:$K$121)</f>
        <v>107.3</v>
      </c>
      <c r="P33" s="11" t="n">
        <f aca="false">_xlfn.MAXIFS(Judge_Scores!$K$2:$K$121,Judge_Scores!$B$2:$B$121,$A33)-_xlfn.MINIFS(Judge_Scores!$K$2:$K$121,Judge_Scores!$B$2:$B$121,$A33)</f>
        <v>4.80000000000001</v>
      </c>
      <c r="Q33" s="10" t="n">
        <f aca="false">RANK(O33,$O$2:$O$41,0)</f>
        <v>33</v>
      </c>
      <c r="R33" s="10" t="n">
        <f aca="false">Q33+COUNTIF($O$2:O33,O33)-1</f>
        <v>33</v>
      </c>
      <c r="S33" s="10" t="str">
        <f aca="false">IF(O33&gt;=Settings!$B$8,"Elite",IF(O33&gt;=Settings!$B$9,"High",IF(O33&gt;=Settings!$B$10,"Developing","Needs Review")))</f>
        <v>High</v>
      </c>
      <c r="T33" s="10" t="str">
        <f aca="false">INDEX($I$1:$N$1,MATCH(MAX(I33:N33),I33:N33,0))</f>
        <v>Body_Topline</v>
      </c>
      <c r="U33" s="10" t="str">
        <f aca="false">INDEX($I$1:$N$1,MATCH(MIN(I33:N33),I33:N33,0))</f>
        <v>Type</v>
      </c>
      <c r="V33" s="28" t="n">
        <f aca="false">INDEX(Parent_Reference!$D$2:$D$16,MATCH(C33,Parent_Reference!$A$2:$A$16,0))</f>
        <v>111.3</v>
      </c>
      <c r="W33" s="28" t="n">
        <f aca="false">INDEX(Parent_Reference!$D$2:$D$16,MATCH(D33,Parent_Reference!$A$2:$A$16,0))</f>
        <v>106.5</v>
      </c>
      <c r="X33" s="11" t="n">
        <f aca="false">AVERAGE(V33:W33)</f>
        <v>108.9</v>
      </c>
      <c r="Y33" s="10" t="n">
        <f aca="false">COUNTIFS($C$2:$C$41,C33,$O$2:$O$41,"&gt;"&amp;O33)+1</f>
        <v>3</v>
      </c>
      <c r="Z33" s="10" t="str">
        <f aca="false">C33&amp;"|"&amp;Y33</f>
        <v>Titan AS|3</v>
      </c>
      <c r="AA33" s="20" t="n">
        <f aca="false">O33-V33</f>
        <v>-4</v>
      </c>
      <c r="AB33" s="10" t="str">
        <f aca="false">INDEX(Horse_Profile!$Q$2:$Q$41,MATCH($A33,Horse_Profile!$A$2:$A$41,0))</f>
        <v/>
      </c>
    </row>
    <row r="34" customFormat="false" ht="15" hidden="false" customHeight="false" outlineLevel="0" collapsed="false">
      <c r="A34" s="10" t="s">
        <v>285</v>
      </c>
      <c r="B34" s="10" t="str">
        <f aca="false">INDEX(Horse_Profile!$B$2:$B$41,MATCH($A34,Horse_Profile!$A$2:$A$41,0))</f>
        <v>HA Asha Pearl</v>
      </c>
      <c r="C34" s="10" t="str">
        <f aca="false">INDEX(Horse_Profile!$I$2:$I$41,MATCH($A34,Horse_Profile!$A$2:$A$41,0))</f>
        <v>Pogrom</v>
      </c>
      <c r="D34" s="10" t="str">
        <f aca="false">INDEX(Horse_Profile!$K$2:$K$41,MATCH($A34,Horse_Profile!$A$2:$A$41,0))</f>
        <v>Marwan Al Shaqab</v>
      </c>
      <c r="E34" s="10" t="str">
        <f aca="false">INDEX(Horse_Profile!$D$2:$D$41,MATCH($A34,Horse_Profile!$A$2:$A$41,0))</f>
        <v>Stallion</v>
      </c>
      <c r="F34" s="10" t="str">
        <f aca="false">INDEX(Horse_Profile!$F$2:$F$41,MATCH($A34,Horse_Profile!$A$2:$A$41,0))</f>
        <v>Junior</v>
      </c>
      <c r="G34" s="10" t="str">
        <f aca="false">INDEX(Horse_Profile!$L$2:$L$41,MATCH($A34,Horse_Profile!$A$2:$A$41,0))</f>
        <v>Polish/International</v>
      </c>
      <c r="H34" s="10" t="str">
        <f aca="false">INDEX(Horse_Profile!$M$2:$M$41,MATCH($A34,Horse_Profile!$A$2:$A$41,0))</f>
        <v>Polish</v>
      </c>
      <c r="I34" s="11" t="n">
        <f aca="false">AVERAGEIF(Judge_Scores!$B$2:$B$121,$A34,Judge_Scores!$E$2:$E$121)</f>
        <v>19.1</v>
      </c>
      <c r="J34" s="11" t="n">
        <f aca="false">AVERAGEIF(Judge_Scores!$B$2:$B$121,$A34,Judge_Scores!$F$2:$F$121)</f>
        <v>17.1666666666667</v>
      </c>
      <c r="K34" s="11" t="n">
        <f aca="false">AVERAGEIF(Judge_Scores!$B$2:$B$121,$A34,Judge_Scores!$G$2:$G$121)</f>
        <v>19.3333333333333</v>
      </c>
      <c r="L34" s="11" t="n">
        <f aca="false">AVERAGEIF(Judge_Scores!$B$2:$B$121,$A34,Judge_Scores!$H$2:$H$121)</f>
        <v>19</v>
      </c>
      <c r="M34" s="11" t="n">
        <f aca="false">AVERAGEIF(Judge_Scores!$B$2:$B$121,$A34,Judge_Scores!$I$2:$I$121)</f>
        <v>18.7</v>
      </c>
      <c r="N34" s="11" t="n">
        <f aca="false">AVERAGEIF(Judge_Scores!$B$2:$B$121,$A34,Judge_Scores!$J$2:$J$121)</f>
        <v>18.4333333333333</v>
      </c>
      <c r="O34" s="11" t="n">
        <f aca="false">AVERAGEIF(Judge_Scores!$B$2:$B$121,$A34,Judge_Scores!$K$2:$K$121)</f>
        <v>111.733333333333</v>
      </c>
      <c r="P34" s="11" t="n">
        <f aca="false">_xlfn.MAXIFS(Judge_Scores!$K$2:$K$121,Judge_Scores!$B$2:$B$121,$A34)-_xlfn.MINIFS(Judge_Scores!$K$2:$K$121,Judge_Scores!$B$2:$B$121,$A34)</f>
        <v>6.30000000000001</v>
      </c>
      <c r="Q34" s="10" t="n">
        <f aca="false">RANK(O34,$O$2:$O$41,0)</f>
        <v>12</v>
      </c>
      <c r="R34" s="10" t="n">
        <f aca="false">Q34+COUNTIF($O$2:O34,O34)-1</f>
        <v>12</v>
      </c>
      <c r="S34" s="10" t="str">
        <f aca="false">IF(O34&gt;=Settings!$B$8,"Elite",IF(O34&gt;=Settings!$B$9,"High",IF(O34&gt;=Settings!$B$10,"Developing","Needs Review")))</f>
        <v>High</v>
      </c>
      <c r="T34" s="10" t="str">
        <f aca="false">INDEX($I$1:$N$1,MATCH(MAX(I34:N34),I34:N34,0))</f>
        <v>Body_Topline</v>
      </c>
      <c r="U34" s="10" t="str">
        <f aca="false">INDEX($I$1:$N$1,MATCH(MIN(I34:N34),I34:N34,0))</f>
        <v>Head_Neck</v>
      </c>
      <c r="V34" s="28" t="n">
        <f aca="false">INDEX(Parent_Reference!$D$2:$D$16,MATCH(C34,Parent_Reference!$A$2:$A$16,0))</f>
        <v>112.7</v>
      </c>
      <c r="W34" s="28" t="n">
        <f aca="false">INDEX(Parent_Reference!$D$2:$D$16,MATCH(D34,Parent_Reference!$A$2:$A$16,0))</f>
        <v>107.2</v>
      </c>
      <c r="X34" s="11" t="n">
        <f aca="false">AVERAGE(V34:W34)</f>
        <v>109.95</v>
      </c>
      <c r="Y34" s="10" t="n">
        <f aca="false">COUNTIFS($C$2:$C$41,C34,$O$2:$O$41,"&gt;"&amp;O34)+1</f>
        <v>6</v>
      </c>
      <c r="Z34" s="10" t="str">
        <f aca="false">C34&amp;"|"&amp;Y34</f>
        <v>Pogrom|6</v>
      </c>
      <c r="AA34" s="20" t="n">
        <f aca="false">O34-V34</f>
        <v>-0.966666666666669</v>
      </c>
      <c r="AB34" s="10" t="str">
        <f aca="false">INDEX(Horse_Profile!$Q$2:$Q$41,MATCH($A34,Horse_Profile!$A$2:$A$41,0))</f>
        <v>Sex/age mismatch</v>
      </c>
    </row>
    <row r="35" customFormat="false" ht="15" hidden="false" customHeight="false" outlineLevel="0" collapsed="false">
      <c r="A35" s="10" t="s">
        <v>288</v>
      </c>
      <c r="B35" s="10" t="str">
        <f aca="false">INDEX(Horse_Profile!$B$2:$B$41,MATCH($A35,Horse_Profile!$A$2:$A$41,0))</f>
        <v>HA Rami Royal Flame</v>
      </c>
      <c r="C35" s="10" t="str">
        <f aca="false">INDEX(Horse_Profile!$I$2:$I$41,MATCH($A35,Horse_Profile!$A$2:$A$41,0))</f>
        <v>Pogrom</v>
      </c>
      <c r="D35" s="10" t="str">
        <f aca="false">INDEX(Horse_Profile!$K$2:$K$41,MATCH($A35,Horse_Profile!$A$2:$A$41,0))</f>
        <v>Bey Shah</v>
      </c>
      <c r="E35" s="10" t="str">
        <f aca="false">INDEX(Horse_Profile!$D$2:$D$41,MATCH($A35,Horse_Profile!$A$2:$A$41,0))</f>
        <v>Stallion</v>
      </c>
      <c r="F35" s="10" t="str">
        <f aca="false">INDEX(Horse_Profile!$F$2:$F$41,MATCH($A35,Horse_Profile!$A$2:$A$41,0))</f>
        <v>Mature</v>
      </c>
      <c r="G35" s="10" t="str">
        <f aca="false">INDEX(Horse_Profile!$L$2:$L$41,MATCH($A35,Horse_Profile!$A$2:$A$41,0))</f>
        <v>Polish/International</v>
      </c>
      <c r="H35" s="10" t="str">
        <f aca="false">INDEX(Horse_Profile!$M$2:$M$41,MATCH($A35,Horse_Profile!$A$2:$A$41,0))</f>
        <v>Polish</v>
      </c>
      <c r="I35" s="11" t="n">
        <f aca="false">AVERAGEIF(Judge_Scores!$B$2:$B$121,$A35,Judge_Scores!$E$2:$E$121)</f>
        <v>19.7</v>
      </c>
      <c r="J35" s="11" t="n">
        <f aca="false">AVERAGEIF(Judge_Scores!$B$2:$B$121,$A35,Judge_Scores!$F$2:$F$121)</f>
        <v>19.3333333333333</v>
      </c>
      <c r="K35" s="11" t="n">
        <f aca="false">AVERAGEIF(Judge_Scores!$B$2:$B$121,$A35,Judge_Scores!$G$2:$G$121)</f>
        <v>18.6666666666667</v>
      </c>
      <c r="L35" s="11" t="n">
        <f aca="false">AVERAGEIF(Judge_Scores!$B$2:$B$121,$A35,Judge_Scores!$H$2:$H$121)</f>
        <v>18.0333333333333</v>
      </c>
      <c r="M35" s="11" t="n">
        <f aca="false">AVERAGEIF(Judge_Scores!$B$2:$B$121,$A35,Judge_Scores!$I$2:$I$121)</f>
        <v>19.7</v>
      </c>
      <c r="N35" s="11" t="n">
        <f aca="false">AVERAGEIF(Judge_Scores!$B$2:$B$121,$A35,Judge_Scores!$J$2:$J$121)</f>
        <v>18.9</v>
      </c>
      <c r="O35" s="11" t="n">
        <f aca="false">AVERAGEIF(Judge_Scores!$B$2:$B$121,$A35,Judge_Scores!$K$2:$K$121)</f>
        <v>114.333333333333</v>
      </c>
      <c r="P35" s="11" t="n">
        <f aca="false">_xlfn.MAXIFS(Judge_Scores!$K$2:$K$121,Judge_Scores!$B$2:$B$121,$A35)-_xlfn.MINIFS(Judge_Scores!$K$2:$K$121,Judge_Scores!$B$2:$B$121,$A35)</f>
        <v>2.29999999999998</v>
      </c>
      <c r="Q35" s="10" t="n">
        <f aca="false">RANK(O35,$O$2:$O$41,0)</f>
        <v>1</v>
      </c>
      <c r="R35" s="10" t="n">
        <f aca="false">Q35+COUNTIF($O$2:O35,O35)-1</f>
        <v>1</v>
      </c>
      <c r="S35" s="10" t="str">
        <f aca="false">IF(O35&gt;=Settings!$B$8,"Elite",IF(O35&gt;=Settings!$B$9,"High",IF(O35&gt;=Settings!$B$10,"Developing","Needs Review")))</f>
        <v>Elite</v>
      </c>
      <c r="T35" s="10" t="str">
        <f aca="false">INDEX($I$1:$N$1,MATCH(MAX(I35:N35),I35:N35,0))</f>
        <v>Type</v>
      </c>
      <c r="U35" s="10" t="str">
        <f aca="false">INDEX($I$1:$N$1,MATCH(MIN(I35:N35),I35:N35,0))</f>
        <v>Legs</v>
      </c>
      <c r="V35" s="28" t="n">
        <f aca="false">INDEX(Parent_Reference!$D$2:$D$16,MATCH(C35,Parent_Reference!$A$2:$A$16,0))</f>
        <v>112.7</v>
      </c>
      <c r="W35" s="28" t="n">
        <f aca="false">INDEX(Parent_Reference!$D$2:$D$16,MATCH(D35,Parent_Reference!$A$2:$A$16,0))</f>
        <v>111.5</v>
      </c>
      <c r="X35" s="11" t="n">
        <f aca="false">AVERAGE(V35:W35)</f>
        <v>112.1</v>
      </c>
      <c r="Y35" s="10" t="n">
        <f aca="false">COUNTIFS($C$2:$C$41,C35,$O$2:$O$41,"&gt;"&amp;O35)+1</f>
        <v>1</v>
      </c>
      <c r="Z35" s="10" t="str">
        <f aca="false">C35&amp;"|"&amp;Y35</f>
        <v>Pogrom|1</v>
      </c>
      <c r="AA35" s="20" t="n">
        <f aca="false">O35-V35</f>
        <v>1.63333333333333</v>
      </c>
      <c r="AB35" s="10" t="str">
        <f aca="false">INDEX(Horse_Profile!$Q$2:$Q$41,MATCH($A35,Horse_Profile!$A$2:$A$41,0))</f>
        <v/>
      </c>
    </row>
    <row r="36" customFormat="false" ht="15" hidden="false" customHeight="false" outlineLevel="0" collapsed="false">
      <c r="A36" s="10" t="s">
        <v>292</v>
      </c>
      <c r="B36" s="10" t="str">
        <f aca="false">INDEX(Horse_Profile!$B$2:$B$41,MATCH($A36,Horse_Profile!$A$2:$A$41,0))</f>
        <v>HA Yara Dream</v>
      </c>
      <c r="C36" s="10" t="str">
        <f aca="false">INDEX(Horse_Profile!$I$2:$I$41,MATCH($A36,Horse_Profile!$A$2:$A$41,0))</f>
        <v>Pogrom</v>
      </c>
      <c r="D36" s="10" t="str">
        <f aca="false">INDEX(Horse_Profile!$K$2:$K$41,MATCH($A36,Horse_Profile!$A$2:$A$41,0))</f>
        <v>Gazal Al Shaqab</v>
      </c>
      <c r="E36" s="10" t="str">
        <f aca="false">INDEX(Horse_Profile!$D$2:$D$41,MATCH($A36,Horse_Profile!$A$2:$A$41,0))</f>
        <v>Stallion</v>
      </c>
      <c r="F36" s="10" t="str">
        <f aca="false">INDEX(Horse_Profile!$F$2:$F$41,MATCH($A36,Horse_Profile!$A$2:$A$41,0))</f>
        <v>Mature</v>
      </c>
      <c r="G36" s="10" t="str">
        <f aca="false">INDEX(Horse_Profile!$L$2:$L$41,MATCH($A36,Horse_Profile!$A$2:$A$41,0))</f>
        <v>Polish/International</v>
      </c>
      <c r="H36" s="10" t="str">
        <f aca="false">INDEX(Horse_Profile!$M$2:$M$41,MATCH($A36,Horse_Profile!$A$2:$A$41,0))</f>
        <v>Egyptian-influenced</v>
      </c>
      <c r="I36" s="11" t="n">
        <f aca="false">AVERAGEIF(Judge_Scores!$B$2:$B$121,$A36,Judge_Scores!$E$2:$E$121)</f>
        <v>19.1</v>
      </c>
      <c r="J36" s="11" t="n">
        <f aca="false">AVERAGEIF(Judge_Scores!$B$2:$B$121,$A36,Judge_Scores!$F$2:$F$121)</f>
        <v>18.6</v>
      </c>
      <c r="K36" s="11" t="n">
        <f aca="false">AVERAGEIF(Judge_Scores!$B$2:$B$121,$A36,Judge_Scores!$G$2:$G$121)</f>
        <v>18.6333333333333</v>
      </c>
      <c r="L36" s="11" t="n">
        <f aca="false">AVERAGEIF(Judge_Scores!$B$2:$B$121,$A36,Judge_Scores!$H$2:$H$121)</f>
        <v>18.1666666666667</v>
      </c>
      <c r="M36" s="11" t="n">
        <f aca="false">AVERAGEIF(Judge_Scores!$B$2:$B$121,$A36,Judge_Scores!$I$2:$I$121)</f>
        <v>18.7333333333333</v>
      </c>
      <c r="N36" s="11" t="n">
        <f aca="false">AVERAGEIF(Judge_Scores!$B$2:$B$121,$A36,Judge_Scores!$J$2:$J$121)</f>
        <v>18.1666666666667</v>
      </c>
      <c r="O36" s="11" t="n">
        <f aca="false">AVERAGEIF(Judge_Scores!$B$2:$B$121,$A36,Judge_Scores!$K$2:$K$121)</f>
        <v>111.4</v>
      </c>
      <c r="P36" s="11" t="n">
        <f aca="false">_xlfn.MAXIFS(Judge_Scores!$K$2:$K$121,Judge_Scores!$B$2:$B$121,$A36)-_xlfn.MINIFS(Judge_Scores!$K$2:$K$121,Judge_Scores!$B$2:$B$121,$A36)</f>
        <v>2.3</v>
      </c>
      <c r="Q36" s="10" t="n">
        <f aca="false">RANK(O36,$O$2:$O$41,0)</f>
        <v>14</v>
      </c>
      <c r="R36" s="10" t="n">
        <f aca="false">Q36+COUNTIF($O$2:O36,O36)-1</f>
        <v>14</v>
      </c>
      <c r="S36" s="10" t="str">
        <f aca="false">IF(O36&gt;=Settings!$B$8,"Elite",IF(O36&gt;=Settings!$B$9,"High",IF(O36&gt;=Settings!$B$10,"Developing","Needs Review")))</f>
        <v>High</v>
      </c>
      <c r="T36" s="10" t="str">
        <f aca="false">INDEX($I$1:$N$1,MATCH(MAX(I36:N36),I36:N36,0))</f>
        <v>Type</v>
      </c>
      <c r="U36" s="10" t="str">
        <f aca="false">INDEX($I$1:$N$1,MATCH(MIN(I36:N36),I36:N36,0))</f>
        <v>Legs</v>
      </c>
      <c r="V36" s="28" t="n">
        <f aca="false">INDEX(Parent_Reference!$D$2:$D$16,MATCH(C36,Parent_Reference!$A$2:$A$16,0))</f>
        <v>112.7</v>
      </c>
      <c r="W36" s="28" t="n">
        <f aca="false">INDEX(Parent_Reference!$D$2:$D$16,MATCH(D36,Parent_Reference!$A$2:$A$16,0))</f>
        <v>107.6</v>
      </c>
      <c r="X36" s="11" t="n">
        <f aca="false">AVERAGE(V36:W36)</f>
        <v>110.15</v>
      </c>
      <c r="Y36" s="10" t="n">
        <f aca="false">COUNTIFS($C$2:$C$41,C36,$O$2:$O$41,"&gt;"&amp;O36)+1</f>
        <v>7</v>
      </c>
      <c r="Z36" s="10" t="str">
        <f aca="false">C36&amp;"|"&amp;Y36</f>
        <v>Pogrom|7</v>
      </c>
      <c r="AA36" s="20" t="n">
        <f aca="false">O36-V36</f>
        <v>-1.30000000000001</v>
      </c>
      <c r="AB36" s="10" t="str">
        <f aca="false">INDEX(Horse_Profile!$Q$2:$Q$41,MATCH($A36,Horse_Profile!$A$2:$A$41,0))</f>
        <v/>
      </c>
    </row>
    <row r="37" customFormat="false" ht="15" hidden="false" customHeight="false" outlineLevel="0" collapsed="false">
      <c r="A37" s="10" t="s">
        <v>296</v>
      </c>
      <c r="B37" s="10" t="str">
        <f aca="false">INDEX(Horse_Profile!$B$2:$B$41,MATCH($A37,Horse_Profile!$A$2:$A$41,0))</f>
        <v>HA Omar Golden Star</v>
      </c>
      <c r="C37" s="10" t="str">
        <f aca="false">INDEX(Horse_Profile!$I$2:$I$41,MATCH($A37,Horse_Profile!$A$2:$A$41,0))</f>
        <v>Abha Qatar</v>
      </c>
      <c r="D37" s="10" t="str">
        <f aca="false">INDEX(Horse_Profile!$K$2:$K$41,MATCH($A37,Horse_Profile!$A$2:$A$41,0))</f>
        <v>Gazal Al Shaqab</v>
      </c>
      <c r="E37" s="10" t="str">
        <f aca="false">INDEX(Horse_Profile!$D$2:$D$41,MATCH($A37,Horse_Profile!$A$2:$A$41,0))</f>
        <v>Filly</v>
      </c>
      <c r="F37" s="10" t="str">
        <f aca="false">INDEX(Horse_Profile!$F$2:$F$41,MATCH($A37,Horse_Profile!$A$2:$A$41,0))</f>
        <v>Young Horse</v>
      </c>
      <c r="G37" s="10" t="str">
        <f aca="false">INDEX(Horse_Profile!$L$2:$L$41,MATCH($A37,Horse_Profile!$A$2:$A$41,0))</f>
        <v>Qatari/Spanish</v>
      </c>
      <c r="H37" s="10" t="str">
        <f aca="false">INDEX(Horse_Profile!$M$2:$M$41,MATCH($A37,Horse_Profile!$A$2:$A$41,0))</f>
        <v>Polish</v>
      </c>
      <c r="I37" s="11" t="n">
        <f aca="false">AVERAGEIF(Judge_Scores!$B$2:$B$121,$A37,Judge_Scores!$E$2:$E$121)</f>
        <v>18.9</v>
      </c>
      <c r="J37" s="11" t="n">
        <f aca="false">AVERAGEIF(Judge_Scores!$B$2:$B$121,$A37,Judge_Scores!$F$2:$F$121)</f>
        <v>17.7</v>
      </c>
      <c r="K37" s="11" t="n">
        <f aca="false">AVERAGEIF(Judge_Scores!$B$2:$B$121,$A37,Judge_Scores!$G$2:$G$121)</f>
        <v>17.5</v>
      </c>
      <c r="L37" s="11" t="n">
        <f aca="false">AVERAGEIF(Judge_Scores!$B$2:$B$121,$A37,Judge_Scores!$H$2:$H$121)</f>
        <v>18</v>
      </c>
      <c r="M37" s="11" t="n">
        <f aca="false">AVERAGEIF(Judge_Scores!$B$2:$B$121,$A37,Judge_Scores!$I$2:$I$121)</f>
        <v>19</v>
      </c>
      <c r="N37" s="11" t="n">
        <f aca="false">AVERAGEIF(Judge_Scores!$B$2:$B$121,$A37,Judge_Scores!$J$2:$J$121)</f>
        <v>19.7</v>
      </c>
      <c r="O37" s="11" t="n">
        <f aca="false">AVERAGEIF(Judge_Scores!$B$2:$B$121,$A37,Judge_Scores!$K$2:$K$121)</f>
        <v>110.8</v>
      </c>
      <c r="P37" s="11" t="n">
        <f aca="false">_xlfn.MAXIFS(Judge_Scores!$K$2:$K$121,Judge_Scores!$B$2:$B$121,$A37)-_xlfn.MINIFS(Judge_Scores!$K$2:$K$121,Judge_Scores!$B$2:$B$121,$A37)</f>
        <v>2.09999999999999</v>
      </c>
      <c r="Q37" s="10" t="n">
        <f aca="false">RANK(O37,$O$2:$O$41,0)</f>
        <v>16</v>
      </c>
      <c r="R37" s="10" t="n">
        <f aca="false">Q37+COUNTIF($O$2:O37,O37)-1</f>
        <v>16</v>
      </c>
      <c r="S37" s="10" t="str">
        <f aca="false">IF(O37&gt;=Settings!$B$8,"Elite",IF(O37&gt;=Settings!$B$9,"High",IF(O37&gt;=Settings!$B$10,"Developing","Needs Review")))</f>
        <v>High</v>
      </c>
      <c r="T37" s="10" t="str">
        <f aca="false">INDEX($I$1:$N$1,MATCH(MAX(I37:N37),I37:N37,0))</f>
        <v>Balance</v>
      </c>
      <c r="U37" s="10" t="str">
        <f aca="false">INDEX($I$1:$N$1,MATCH(MIN(I37:N37),I37:N37,0))</f>
        <v>Body_Topline</v>
      </c>
      <c r="V37" s="28" t="n">
        <f aca="false">INDEX(Parent_Reference!$D$2:$D$16,MATCH(C37,Parent_Reference!$A$2:$A$16,0))</f>
        <v>112.9</v>
      </c>
      <c r="W37" s="28" t="n">
        <f aca="false">INDEX(Parent_Reference!$D$2:$D$16,MATCH(D37,Parent_Reference!$A$2:$A$16,0))</f>
        <v>107.6</v>
      </c>
      <c r="X37" s="11" t="n">
        <f aca="false">AVERAGE(V37:W37)</f>
        <v>110.25</v>
      </c>
      <c r="Y37" s="10" t="n">
        <f aca="false">COUNTIFS($C$2:$C$41,C37,$O$2:$O$41,"&gt;"&amp;O37)+1</f>
        <v>2</v>
      </c>
      <c r="Z37" s="10" t="str">
        <f aca="false">C37&amp;"|"&amp;Y37</f>
        <v>Abha Qatar|2</v>
      </c>
      <c r="AA37" s="20" t="n">
        <f aca="false">O37-V37</f>
        <v>-2.10000000000001</v>
      </c>
      <c r="AB37" s="10" t="str">
        <f aca="false">INDEX(Horse_Profile!$Q$2:$Q$41,MATCH($A37,Horse_Profile!$A$2:$A$41,0))</f>
        <v/>
      </c>
    </row>
    <row r="38" customFormat="false" ht="15" hidden="false" customHeight="false" outlineLevel="0" collapsed="false">
      <c r="A38" s="10" t="s">
        <v>300</v>
      </c>
      <c r="B38" s="10" t="str">
        <f aca="false">INDEX(Horse_Profile!$B$2:$B$41,MATCH($A38,Horse_Profile!$A$2:$A$41,0))</f>
        <v>HA Selena El Noor</v>
      </c>
      <c r="C38" s="10" t="str">
        <f aca="false">INDEX(Horse_Profile!$I$2:$I$41,MATCH($A38,Horse_Profile!$A$2:$A$41,0))</f>
        <v>Abha Qatar</v>
      </c>
      <c r="D38" s="10" t="str">
        <f aca="false">INDEX(Horse_Profile!$K$2:$K$41,MATCH($A38,Horse_Profile!$A$2:$A$41,0))</f>
        <v>El Nabila B</v>
      </c>
      <c r="E38" s="10" t="str">
        <f aca="false">INDEX(Horse_Profile!$D$2:$D$41,MATCH($A38,Horse_Profile!$A$2:$A$41,0))</f>
        <v>Colt</v>
      </c>
      <c r="F38" s="10" t="str">
        <f aca="false">INDEX(Horse_Profile!$F$2:$F$41,MATCH($A38,Horse_Profile!$A$2:$A$41,0))</f>
        <v>Young Horse</v>
      </c>
      <c r="G38" s="10" t="str">
        <f aca="false">INDEX(Horse_Profile!$L$2:$L$41,MATCH($A38,Horse_Profile!$A$2:$A$41,0))</f>
        <v>Qatari/Spanish</v>
      </c>
      <c r="H38" s="10" t="str">
        <f aca="false">INDEX(Horse_Profile!$M$2:$M$41,MATCH($A38,Horse_Profile!$A$2:$A$41,0))</f>
        <v>International</v>
      </c>
      <c r="I38" s="11" t="n">
        <f aca="false">AVERAGEIF(Judge_Scores!$B$2:$B$121,$A38,Judge_Scores!$E$2:$E$121)</f>
        <v>17.2666666666667</v>
      </c>
      <c r="J38" s="11" t="n">
        <f aca="false">AVERAGEIF(Judge_Scores!$B$2:$B$121,$A38,Judge_Scores!$F$2:$F$121)</f>
        <v>18.5</v>
      </c>
      <c r="K38" s="11" t="n">
        <f aca="false">AVERAGEIF(Judge_Scores!$B$2:$B$121,$A38,Judge_Scores!$G$2:$G$121)</f>
        <v>17.6666666666667</v>
      </c>
      <c r="L38" s="11" t="n">
        <f aca="false">AVERAGEIF(Judge_Scores!$B$2:$B$121,$A38,Judge_Scores!$H$2:$H$121)</f>
        <v>18.6333333333333</v>
      </c>
      <c r="M38" s="11" t="n">
        <f aca="false">AVERAGEIF(Judge_Scores!$B$2:$B$121,$A38,Judge_Scores!$I$2:$I$121)</f>
        <v>17.4333333333333</v>
      </c>
      <c r="N38" s="11" t="n">
        <f aca="false">AVERAGEIF(Judge_Scores!$B$2:$B$121,$A38,Judge_Scores!$J$2:$J$121)</f>
        <v>17.0666666666667</v>
      </c>
      <c r="O38" s="11" t="n">
        <f aca="false">AVERAGEIF(Judge_Scores!$B$2:$B$121,$A38,Judge_Scores!$K$2:$K$121)</f>
        <v>106.566666666667</v>
      </c>
      <c r="P38" s="11" t="n">
        <f aca="false">_xlfn.MAXIFS(Judge_Scores!$K$2:$K$121,Judge_Scores!$B$2:$B$121,$A38)-_xlfn.MINIFS(Judge_Scores!$K$2:$K$121,Judge_Scores!$B$2:$B$121,$A38)</f>
        <v>6.5</v>
      </c>
      <c r="Q38" s="10" t="n">
        <f aca="false">RANK(O38,$O$2:$O$41,0)</f>
        <v>35</v>
      </c>
      <c r="R38" s="10" t="n">
        <f aca="false">Q38+COUNTIF($O$2:O38,O38)-1</f>
        <v>35</v>
      </c>
      <c r="S38" s="10" t="str">
        <f aca="false">IF(O38&gt;=Settings!$B$8,"Elite",IF(O38&gt;=Settings!$B$9,"High",IF(O38&gt;=Settings!$B$10,"Developing","Needs Review")))</f>
        <v>High</v>
      </c>
      <c r="T38" s="10" t="str">
        <f aca="false">INDEX($I$1:$N$1,MATCH(MAX(I38:N38),I38:N38,0))</f>
        <v>Legs</v>
      </c>
      <c r="U38" s="10" t="str">
        <f aca="false">INDEX($I$1:$N$1,MATCH(MIN(I38:N38),I38:N38,0))</f>
        <v>Balance</v>
      </c>
      <c r="V38" s="28" t="n">
        <f aca="false">INDEX(Parent_Reference!$D$2:$D$16,MATCH(C38,Parent_Reference!$A$2:$A$16,0))</f>
        <v>112.9</v>
      </c>
      <c r="W38" s="28" t="n">
        <f aca="false">INDEX(Parent_Reference!$D$2:$D$16,MATCH(D38,Parent_Reference!$A$2:$A$16,0))</f>
        <v>106.5</v>
      </c>
      <c r="X38" s="11" t="n">
        <f aca="false">AVERAGE(V38:W38)</f>
        <v>109.7</v>
      </c>
      <c r="Y38" s="10" t="n">
        <f aca="false">COUNTIFS($C$2:$C$41,C38,$O$2:$O$41,"&gt;"&amp;O38)+1</f>
        <v>7</v>
      </c>
      <c r="Z38" s="10" t="str">
        <f aca="false">C38&amp;"|"&amp;Y38</f>
        <v>Abha Qatar|7</v>
      </c>
      <c r="AA38" s="20" t="n">
        <f aca="false">O38-V38</f>
        <v>-6.33333333333334</v>
      </c>
      <c r="AB38" s="10" t="str">
        <f aca="false">INDEX(Horse_Profile!$Q$2:$Q$41,MATCH($A38,Horse_Profile!$A$2:$A$41,0))</f>
        <v>Sex/age mismatch</v>
      </c>
    </row>
    <row r="39" customFormat="false" ht="15" hidden="false" customHeight="false" outlineLevel="0" collapsed="false">
      <c r="A39" s="10" t="s">
        <v>304</v>
      </c>
      <c r="B39" s="10" t="str">
        <f aca="false">INDEX(Horse_Profile!$B$2:$B$41,MATCH($A39,Horse_Profile!$A$2:$A$41,0))</f>
        <v>HA Nasim Pearl</v>
      </c>
      <c r="C39" s="10" t="str">
        <f aca="false">INDEX(Horse_Profile!$I$2:$I$41,MATCH($A39,Horse_Profile!$A$2:$A$41,0))</f>
        <v>Abha Qatar</v>
      </c>
      <c r="D39" s="10" t="str">
        <f aca="false">INDEX(Horse_Profile!$K$2:$K$41,MATCH($A39,Horse_Profile!$A$2:$A$41,0))</f>
        <v>Magnum Psyche</v>
      </c>
      <c r="E39" s="10" t="str">
        <f aca="false">INDEX(Horse_Profile!$D$2:$D$41,MATCH($A39,Horse_Profile!$A$2:$A$41,0))</f>
        <v>Filly</v>
      </c>
      <c r="F39" s="10" t="str">
        <f aca="false">INDEX(Horse_Profile!$F$2:$F$41,MATCH($A39,Horse_Profile!$A$2:$A$41,0))</f>
        <v>Mature</v>
      </c>
      <c r="G39" s="10" t="str">
        <f aca="false">INDEX(Horse_Profile!$L$2:$L$41,MATCH($A39,Horse_Profile!$A$2:$A$41,0))</f>
        <v>Qatari/Spanish</v>
      </c>
      <c r="H39" s="10" t="str">
        <f aca="false">INDEX(Horse_Profile!$M$2:$M$41,MATCH($A39,Horse_Profile!$A$2:$A$41,0))</f>
        <v>Crabbet-influenced</v>
      </c>
      <c r="I39" s="11" t="n">
        <f aca="false">AVERAGEIF(Judge_Scores!$B$2:$B$121,$A39,Judge_Scores!$E$2:$E$121)</f>
        <v>18.4666666666667</v>
      </c>
      <c r="J39" s="11" t="n">
        <f aca="false">AVERAGEIF(Judge_Scores!$B$2:$B$121,$A39,Judge_Scores!$F$2:$F$121)</f>
        <v>19.7</v>
      </c>
      <c r="K39" s="11" t="n">
        <f aca="false">AVERAGEIF(Judge_Scores!$B$2:$B$121,$A39,Judge_Scores!$G$2:$G$121)</f>
        <v>17.6666666666667</v>
      </c>
      <c r="L39" s="11" t="n">
        <f aca="false">AVERAGEIF(Judge_Scores!$B$2:$B$121,$A39,Judge_Scores!$H$2:$H$121)</f>
        <v>18.3666666666667</v>
      </c>
      <c r="M39" s="11" t="n">
        <f aca="false">AVERAGEIF(Judge_Scores!$B$2:$B$121,$A39,Judge_Scores!$I$2:$I$121)</f>
        <v>18.3333333333333</v>
      </c>
      <c r="N39" s="11" t="n">
        <f aca="false">AVERAGEIF(Judge_Scores!$B$2:$B$121,$A39,Judge_Scores!$J$2:$J$121)</f>
        <v>17.6</v>
      </c>
      <c r="O39" s="11" t="n">
        <f aca="false">AVERAGEIF(Judge_Scores!$B$2:$B$121,$A39,Judge_Scores!$K$2:$K$121)</f>
        <v>110.133333333333</v>
      </c>
      <c r="P39" s="11" t="n">
        <f aca="false">_xlfn.MAXIFS(Judge_Scores!$K$2:$K$121,Judge_Scores!$B$2:$B$121,$A39)-_xlfn.MINIFS(Judge_Scores!$K$2:$K$121,Judge_Scores!$B$2:$B$121,$A39)</f>
        <v>2.10000000000001</v>
      </c>
      <c r="Q39" s="10" t="n">
        <f aca="false">RANK(O39,$O$2:$O$41,0)</f>
        <v>24</v>
      </c>
      <c r="R39" s="10" t="n">
        <f aca="false">Q39+COUNTIF($O$2:O39,O39)-1</f>
        <v>24</v>
      </c>
      <c r="S39" s="10" t="str">
        <f aca="false">IF(O39&gt;=Settings!$B$8,"Elite",IF(O39&gt;=Settings!$B$9,"High",IF(O39&gt;=Settings!$B$10,"Developing","Needs Review")))</f>
        <v>High</v>
      </c>
      <c r="T39" s="10" t="str">
        <f aca="false">INDEX($I$1:$N$1,MATCH(MAX(I39:N39),I39:N39,0))</f>
        <v>Head_Neck</v>
      </c>
      <c r="U39" s="10" t="str">
        <f aca="false">INDEX($I$1:$N$1,MATCH(MIN(I39:N39),I39:N39,0))</f>
        <v>Balance</v>
      </c>
      <c r="V39" s="28" t="n">
        <f aca="false">INDEX(Parent_Reference!$D$2:$D$16,MATCH(C39,Parent_Reference!$A$2:$A$16,0))</f>
        <v>112.9</v>
      </c>
      <c r="W39" s="28" t="n">
        <f aca="false">INDEX(Parent_Reference!$D$2:$D$16,MATCH(D39,Parent_Reference!$A$2:$A$16,0))</f>
        <v>106.5</v>
      </c>
      <c r="X39" s="11" t="n">
        <f aca="false">AVERAGE(V39:W39)</f>
        <v>109.7</v>
      </c>
      <c r="Y39" s="10" t="n">
        <f aca="false">COUNTIFS($C$2:$C$41,C39,$O$2:$O$41,"&gt;"&amp;O39)+1</f>
        <v>4</v>
      </c>
      <c r="Z39" s="10" t="str">
        <f aca="false">C39&amp;"|"&amp;Y39</f>
        <v>Abha Qatar|4</v>
      </c>
      <c r="AA39" s="20" t="n">
        <f aca="false">O39-V39</f>
        <v>-2.76666666666668</v>
      </c>
      <c r="AB39" s="10" t="str">
        <f aca="false">INDEX(Horse_Profile!$Q$2:$Q$41,MATCH($A39,Horse_Profile!$A$2:$A$41,0))</f>
        <v>Sex/age mismatch</v>
      </c>
    </row>
    <row r="40" customFormat="false" ht="15" hidden="false" customHeight="false" outlineLevel="0" collapsed="false">
      <c r="A40" s="10" t="s">
        <v>308</v>
      </c>
      <c r="B40" s="10" t="str">
        <f aca="false">INDEX(Horse_Profile!$B$2:$B$41,MATCH($A40,Horse_Profile!$A$2:$A$41,0))</f>
        <v>HA Leila Royal Flame</v>
      </c>
      <c r="C40" s="10" t="str">
        <f aca="false">INDEX(Horse_Profile!$I$2:$I$41,MATCH($A40,Horse_Profile!$A$2:$A$41,0))</f>
        <v>Pogrom</v>
      </c>
      <c r="D40" s="10" t="str">
        <f aca="false">INDEX(Horse_Profile!$K$2:$K$41,MATCH($A40,Horse_Profile!$A$2:$A$41,0))</f>
        <v>Versace</v>
      </c>
      <c r="E40" s="10" t="str">
        <f aca="false">INDEX(Horse_Profile!$D$2:$D$41,MATCH($A40,Horse_Profile!$A$2:$A$41,0))</f>
        <v>Mare</v>
      </c>
      <c r="F40" s="10" t="str">
        <f aca="false">INDEX(Horse_Profile!$F$2:$F$41,MATCH($A40,Horse_Profile!$A$2:$A$41,0))</f>
        <v>Young Horse</v>
      </c>
      <c r="G40" s="10" t="str">
        <f aca="false">INDEX(Horse_Profile!$L$2:$L$41,MATCH($A40,Horse_Profile!$A$2:$A$41,0))</f>
        <v>Polish/International</v>
      </c>
      <c r="H40" s="10" t="str">
        <f aca="false">INDEX(Horse_Profile!$M$2:$M$41,MATCH($A40,Horse_Profile!$A$2:$A$41,0))</f>
        <v>Domestic</v>
      </c>
      <c r="I40" s="11" t="n">
        <f aca="false">AVERAGEIF(Judge_Scores!$B$2:$B$121,$A40,Judge_Scores!$E$2:$E$121)</f>
        <v>18.8</v>
      </c>
      <c r="J40" s="11" t="n">
        <f aca="false">AVERAGEIF(Judge_Scores!$B$2:$B$121,$A40,Judge_Scores!$F$2:$F$121)</f>
        <v>18.4</v>
      </c>
      <c r="K40" s="11" t="n">
        <f aca="false">AVERAGEIF(Judge_Scores!$B$2:$B$121,$A40,Judge_Scores!$G$2:$G$121)</f>
        <v>18.2333333333333</v>
      </c>
      <c r="L40" s="11" t="n">
        <f aca="false">AVERAGEIF(Judge_Scores!$B$2:$B$121,$A40,Judge_Scores!$H$2:$H$121)</f>
        <v>18.6333333333333</v>
      </c>
      <c r="M40" s="11" t="n">
        <f aca="false">AVERAGEIF(Judge_Scores!$B$2:$B$121,$A40,Judge_Scores!$I$2:$I$121)</f>
        <v>18.7333333333333</v>
      </c>
      <c r="N40" s="11" t="n">
        <f aca="false">AVERAGEIF(Judge_Scores!$B$2:$B$121,$A40,Judge_Scores!$J$2:$J$121)</f>
        <v>17.8333333333333</v>
      </c>
      <c r="O40" s="11" t="n">
        <f aca="false">AVERAGEIF(Judge_Scores!$B$2:$B$121,$A40,Judge_Scores!$K$2:$K$121)</f>
        <v>110.633333333333</v>
      </c>
      <c r="P40" s="11" t="n">
        <f aca="false">_xlfn.MAXIFS(Judge_Scores!$K$2:$K$121,Judge_Scores!$B$2:$B$121,$A40)-_xlfn.MINIFS(Judge_Scores!$K$2:$K$121,Judge_Scores!$B$2:$B$121,$A40)</f>
        <v>8.09999999999999</v>
      </c>
      <c r="Q40" s="10" t="n">
        <f aca="false">RANK(O40,$O$2:$O$41,0)</f>
        <v>18</v>
      </c>
      <c r="R40" s="10" t="n">
        <f aca="false">Q40+COUNTIF($O$2:O40,O40)-1</f>
        <v>19</v>
      </c>
      <c r="S40" s="10" t="str">
        <f aca="false">IF(O40&gt;=Settings!$B$8,"Elite",IF(O40&gt;=Settings!$B$9,"High",IF(O40&gt;=Settings!$B$10,"Developing","Needs Review")))</f>
        <v>High</v>
      </c>
      <c r="T40" s="10" t="str">
        <f aca="false">INDEX($I$1:$N$1,MATCH(MAX(I40:N40),I40:N40,0))</f>
        <v>Type</v>
      </c>
      <c r="U40" s="10" t="str">
        <f aca="false">INDEX($I$1:$N$1,MATCH(MIN(I40:N40),I40:N40,0))</f>
        <v>Balance</v>
      </c>
      <c r="V40" s="28" t="n">
        <f aca="false">INDEX(Parent_Reference!$D$2:$D$16,MATCH(C40,Parent_Reference!$A$2:$A$16,0))</f>
        <v>112.7</v>
      </c>
      <c r="W40" s="28" t="n">
        <f aca="false">INDEX(Parent_Reference!$D$2:$D$16,MATCH(D40,Parent_Reference!$A$2:$A$16,0))</f>
        <v>106.3</v>
      </c>
      <c r="X40" s="11" t="n">
        <f aca="false">AVERAGE(V40:W40)</f>
        <v>109.5</v>
      </c>
      <c r="Y40" s="10" t="n">
        <f aca="false">COUNTIFS($C$2:$C$41,C40,$O$2:$O$41,"&gt;"&amp;O40)+1</f>
        <v>8</v>
      </c>
      <c r="Z40" s="10" t="str">
        <f aca="false">C40&amp;"|"&amp;Y40</f>
        <v>Pogrom|8</v>
      </c>
      <c r="AA40" s="20" t="n">
        <f aca="false">O40-V40</f>
        <v>-2.06666666666668</v>
      </c>
      <c r="AB40" s="10" t="str">
        <f aca="false">INDEX(Horse_Profile!$Q$2:$Q$41,MATCH($A40,Horse_Profile!$A$2:$A$41,0))</f>
        <v>Sex/age mismatch</v>
      </c>
    </row>
    <row r="41" customFormat="false" ht="15" hidden="false" customHeight="false" outlineLevel="0" collapsed="false">
      <c r="A41" s="10" t="s">
        <v>312</v>
      </c>
      <c r="B41" s="10" t="str">
        <f aca="false">INDEX(Horse_Profile!$B$2:$B$41,MATCH($A41,Horse_Profile!$A$2:$A$41,0))</f>
        <v>HA Kairo Marquis</v>
      </c>
      <c r="C41" s="10" t="str">
        <f aca="false">INDEX(Horse_Profile!$I$2:$I$41,MATCH($A41,Horse_Profile!$A$2:$A$41,0))</f>
        <v>Pogrom</v>
      </c>
      <c r="D41" s="10" t="str">
        <f aca="false">INDEX(Horse_Profile!$K$2:$K$41,MATCH($A41,Horse_Profile!$A$2:$A$41,0))</f>
        <v>El Nabila B</v>
      </c>
      <c r="E41" s="10" t="str">
        <f aca="false">INDEX(Horse_Profile!$D$2:$D$41,MATCH($A41,Horse_Profile!$A$2:$A$41,0))</f>
        <v>Filly</v>
      </c>
      <c r="F41" s="10" t="str">
        <f aca="false">INDEX(Horse_Profile!$F$2:$F$41,MATCH($A41,Horse_Profile!$A$2:$A$41,0))</f>
        <v>Young Horse</v>
      </c>
      <c r="G41" s="10" t="str">
        <f aca="false">INDEX(Horse_Profile!$L$2:$L$41,MATCH($A41,Horse_Profile!$A$2:$A$41,0))</f>
        <v>Polish/International</v>
      </c>
      <c r="H41" s="10" t="str">
        <f aca="false">INDEX(Horse_Profile!$M$2:$M$41,MATCH($A41,Horse_Profile!$A$2:$A$41,0))</f>
        <v>International</v>
      </c>
      <c r="I41" s="11" t="n">
        <f aca="false">AVERAGEIF(Judge_Scores!$B$2:$B$121,$A41,Judge_Scores!$E$2:$E$121)</f>
        <v>19.0333333333333</v>
      </c>
      <c r="J41" s="11" t="n">
        <f aca="false">AVERAGEIF(Judge_Scores!$B$2:$B$121,$A41,Judge_Scores!$F$2:$F$121)</f>
        <v>18.6333333333333</v>
      </c>
      <c r="K41" s="11" t="n">
        <f aca="false">AVERAGEIF(Judge_Scores!$B$2:$B$121,$A41,Judge_Scores!$G$2:$G$121)</f>
        <v>18.9666666666667</v>
      </c>
      <c r="L41" s="11" t="n">
        <f aca="false">AVERAGEIF(Judge_Scores!$B$2:$B$121,$A41,Judge_Scores!$H$2:$H$121)</f>
        <v>19.0333333333333</v>
      </c>
      <c r="M41" s="11" t="n">
        <f aca="false">AVERAGEIF(Judge_Scores!$B$2:$B$121,$A41,Judge_Scores!$I$2:$I$121)</f>
        <v>19.5</v>
      </c>
      <c r="N41" s="11" t="n">
        <f aca="false">AVERAGEIF(Judge_Scores!$B$2:$B$121,$A41,Judge_Scores!$J$2:$J$121)</f>
        <v>18.7666666666667</v>
      </c>
      <c r="O41" s="11" t="n">
        <f aca="false">AVERAGEIF(Judge_Scores!$B$2:$B$121,$A41,Judge_Scores!$K$2:$K$121)</f>
        <v>113.933333333333</v>
      </c>
      <c r="P41" s="11" t="n">
        <f aca="false">_xlfn.MAXIFS(Judge_Scores!$K$2:$K$121,Judge_Scores!$B$2:$B$121,$A41)-_xlfn.MINIFS(Judge_Scores!$K$2:$K$121,Judge_Scores!$B$2:$B$121,$A41)</f>
        <v>8.3</v>
      </c>
      <c r="Q41" s="10" t="n">
        <f aca="false">RANK(O41,$O$2:$O$41,0)</f>
        <v>2</v>
      </c>
      <c r="R41" s="10" t="n">
        <f aca="false">Q41+COUNTIF($O$2:O41,O41)-1</f>
        <v>2</v>
      </c>
      <c r="S41" s="10" t="str">
        <f aca="false">IF(O41&gt;=Settings!$B$8,"Elite",IF(O41&gt;=Settings!$B$9,"High",IF(O41&gt;=Settings!$B$10,"Developing","Needs Review")))</f>
        <v>Elite</v>
      </c>
      <c r="T41" s="10" t="str">
        <f aca="false">INDEX($I$1:$N$1,MATCH(MAX(I41:N41),I41:N41,0))</f>
        <v>Movement</v>
      </c>
      <c r="U41" s="10" t="str">
        <f aca="false">INDEX($I$1:$N$1,MATCH(MIN(I41:N41),I41:N41,0))</f>
        <v>Head_Neck</v>
      </c>
      <c r="V41" s="28" t="n">
        <f aca="false">INDEX(Parent_Reference!$D$2:$D$16,MATCH(C41,Parent_Reference!$A$2:$A$16,0))</f>
        <v>112.7</v>
      </c>
      <c r="W41" s="28" t="n">
        <f aca="false">INDEX(Parent_Reference!$D$2:$D$16,MATCH(D41,Parent_Reference!$A$2:$A$16,0))</f>
        <v>106.5</v>
      </c>
      <c r="X41" s="11" t="n">
        <f aca="false">AVERAGE(V41:W41)</f>
        <v>109.6</v>
      </c>
      <c r="Y41" s="10" t="n">
        <f aca="false">COUNTIFS($C$2:$C$41,C41,$O$2:$O$41,"&gt;"&amp;O41)+1</f>
        <v>2</v>
      </c>
      <c r="Z41" s="10" t="str">
        <f aca="false">C41&amp;"|"&amp;Y41</f>
        <v>Pogrom|2</v>
      </c>
      <c r="AA41" s="20" t="n">
        <f aca="false">O41-V41</f>
        <v>1.23333333333332</v>
      </c>
      <c r="AB41" s="10" t="str">
        <f aca="false">INDEX(Horse_Profile!$Q$2:$Q$41,MATCH($A41,Horse_Profile!$A$2:$A$41,0))</f>
        <v/>
      </c>
    </row>
  </sheetData>
  <conditionalFormatting sqref="O2:O41">
    <cfRule type="colorScale" priority="2">
      <colorScale>
        <cfvo type="num" val="104"/>
        <cfvo type="num" val="114"/>
        <color rgb="FFEAF2FD"/>
        <color rgb="FF2A78D6"/>
      </colorScale>
    </cfRule>
  </conditionalFormatting>
  <conditionalFormatting sqref="S2:S41">
    <cfRule type="cellIs" priority="3" operator="equal" aboveAverage="0" equalAverage="0" bottom="0" percent="0" rank="0" text="" dxfId="42">
      <formula>"Elite"</formula>
    </cfRule>
  </conditionalFormatting>
  <conditionalFormatting sqref="AB2:AB41">
    <cfRule type="cellIs" priority="4" operator="notEqual" aboveAverage="0" equalAverage="0" bottom="0" percent="0" rank="0" text="" dxfId="43">
      <formula>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B6834"/>
    <pageSetUpPr fitToPage="false"/>
  </sheetPr>
  <dimension ref="A1:M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6" min="3" style="0" width="11"/>
    <col collapsed="false" customWidth="true" hidden="false" outlineLevel="0" max="8" min="7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24"/>
    <col collapsed="false" customWidth="true" hidden="false" outlineLevel="0" max="13" min="13" style="0" width="7"/>
  </cols>
  <sheetData>
    <row r="1" customFormat="false" ht="25.5" hidden="false" customHeight="true" outlineLevel="0" collapsed="false">
      <c r="A1" s="22" t="s">
        <v>478</v>
      </c>
    </row>
    <row r="2" customFormat="false" ht="15" hidden="false" customHeight="false" outlineLevel="0" collapsed="false">
      <c r="A2" s="2" t="s">
        <v>479</v>
      </c>
    </row>
    <row r="4" customFormat="false" ht="15" hidden="false" customHeight="false" outlineLevel="0" collapsed="false">
      <c r="A4" s="8" t="s">
        <v>480</v>
      </c>
    </row>
    <row r="5" customFormat="false" ht="23.85" hidden="false" customHeight="false" outlineLevel="0" collapsed="false">
      <c r="A5" s="9" t="s">
        <v>12</v>
      </c>
      <c r="B5" s="9" t="s">
        <v>481</v>
      </c>
      <c r="C5" s="9" t="s">
        <v>2</v>
      </c>
      <c r="D5" s="9" t="s">
        <v>15</v>
      </c>
      <c r="E5" s="9" t="s">
        <v>482</v>
      </c>
      <c r="F5" s="9" t="s">
        <v>483</v>
      </c>
      <c r="G5" s="9" t="s">
        <v>484</v>
      </c>
      <c r="H5" s="9" t="s">
        <v>4</v>
      </c>
      <c r="I5" s="9" t="s">
        <v>17</v>
      </c>
      <c r="J5" s="9" t="s">
        <v>485</v>
      </c>
      <c r="K5" s="9" t="s">
        <v>486</v>
      </c>
      <c r="L5" s="9" t="s">
        <v>487</v>
      </c>
      <c r="M5" s="9" t="s">
        <v>23</v>
      </c>
    </row>
    <row r="6" customFormat="false" ht="15" hidden="false" customHeight="false" outlineLevel="0" collapsed="false">
      <c r="A6" s="10" t="s">
        <v>111</v>
      </c>
      <c r="B6" s="10" t="str">
        <f aca="false">INDEX(Parent_Reference!$C$2:$C$16,MATCH(A6,Parent_Reference!$A$2:$A$16,0))</f>
        <v>Polish/International</v>
      </c>
      <c r="C6" s="10" t="n">
        <f aca="false">COUNTIF(Horse_Summary!$C$2:$C$41,A6)</f>
        <v>10</v>
      </c>
      <c r="D6" s="11" t="n">
        <f aca="false">AVERAGEIF(Horse_Summary!$C$2:$C$41,A6,Horse_Summary!$O$2:$O$41)</f>
        <v>112.306666666667</v>
      </c>
      <c r="E6" s="11" t="n">
        <f aca="false">SQRT(SUMPRODUCT((Horse_Summary!$C$2:$C$41=A6)*(Horse_Summary!$O$2:$O$41-D6)^2)/(C6-1))</f>
        <v>1.56605977212766</v>
      </c>
      <c r="F6" s="11" t="n">
        <f aca="false">_xlfn.MINIFS(Horse_Summary!$O$2:$O$41,Horse_Summary!$C$2:$C$41,A6)</f>
        <v>110.366666666667</v>
      </c>
      <c r="G6" s="11" t="n">
        <f aca="false">_xlfn.MAXIFS(Horse_Summary!$O$2:$O$41,Horse_Summary!$C$2:$C$41,A6)</f>
        <v>114.333333333333</v>
      </c>
      <c r="H6" s="10" t="n">
        <f aca="false">COUNTIFS(Horse_Summary!$C$2:$C$41,A6,Horse_Summary!$S$2:$S$41,"Elite")</f>
        <v>5</v>
      </c>
      <c r="I6" s="12" t="n">
        <f aca="false">H6/C6</f>
        <v>0.5</v>
      </c>
      <c r="J6" s="28" t="n">
        <f aca="false">INDEX(Parent_Reference!$D$2:$D$16,MATCH(A6,Parent_Reference!$A$2:$A$16,0))</f>
        <v>112.7</v>
      </c>
      <c r="K6" s="20" t="n">
        <f aca="false">D6-J6</f>
        <v>-0.393333333333345</v>
      </c>
      <c r="L6" s="10" t="str">
        <f aca="false">INDEX(Horse_Summary!$B$2:$B$41,MATCH(A6&amp;"|1",Horse_Summary!$Z$2:$Z$41,0))</f>
        <v>HA Rami Royal Flame</v>
      </c>
      <c r="M6" s="10" t="n">
        <f aca="false">RANK(D6,$D$6:$D$10,0)</f>
        <v>1</v>
      </c>
    </row>
    <row r="7" customFormat="false" ht="15" hidden="false" customHeight="false" outlineLevel="0" collapsed="false">
      <c r="A7" s="13" t="s">
        <v>147</v>
      </c>
      <c r="B7" s="13" t="str">
        <f aca="false">INDEX(Parent_Reference!$C$2:$C$16,MATCH(A7,Parent_Reference!$A$2:$A$16,0))</f>
        <v>Valentino/International</v>
      </c>
      <c r="C7" s="13" t="n">
        <f aca="false">COUNTIF(Horse_Summary!$C$2:$C$41,A7)</f>
        <v>7</v>
      </c>
      <c r="D7" s="14" t="n">
        <f aca="false">AVERAGEIF(Horse_Summary!$C$2:$C$41,A7,Horse_Summary!$O$2:$O$41)</f>
        <v>112.147619047619</v>
      </c>
      <c r="E7" s="14" t="n">
        <f aca="false">SQRT(SUMPRODUCT((Horse_Summary!$C$2:$C$41=A7)*(Horse_Summary!$O$2:$O$41-D7)^2)/(C7-1))</f>
        <v>0.693316544363274</v>
      </c>
      <c r="F7" s="14" t="n">
        <f aca="false">_xlfn.MINIFS(Horse_Summary!$O$2:$O$41,Horse_Summary!$C$2:$C$41,A7)</f>
        <v>110.733333333333</v>
      </c>
      <c r="G7" s="14" t="n">
        <f aca="false">_xlfn.MAXIFS(Horse_Summary!$O$2:$O$41,Horse_Summary!$C$2:$C$41,A7)</f>
        <v>112.8</v>
      </c>
      <c r="H7" s="13" t="n">
        <f aca="false">COUNTIFS(Horse_Summary!$C$2:$C$41,A7,Horse_Summary!$S$2:$S$41,"Elite")</f>
        <v>6</v>
      </c>
      <c r="I7" s="15" t="n">
        <f aca="false">H7/C7</f>
        <v>0.857142857142857</v>
      </c>
      <c r="J7" s="29" t="n">
        <f aca="false">INDEX(Parent_Reference!$D$2:$D$16,MATCH(A7,Parent_Reference!$A$2:$A$16,0))</f>
        <v>112.8</v>
      </c>
      <c r="K7" s="21" t="n">
        <f aca="false">D7-J7</f>
        <v>-0.652380952380952</v>
      </c>
      <c r="L7" s="13" t="str">
        <f aca="false">INDEX(Horse_Summary!$B$2:$B$41,MATCH(A7&amp;"|1",Horse_Summary!$Z$2:$Z$41,0))</f>
        <v>HA Rashid Golden Star</v>
      </c>
      <c r="M7" s="13" t="n">
        <f aca="false">RANK(D7,$D$6:$D$10,0)</f>
        <v>2</v>
      </c>
    </row>
    <row r="8" customFormat="false" ht="15" hidden="false" customHeight="false" outlineLevel="0" collapsed="false">
      <c r="A8" s="10" t="s">
        <v>135</v>
      </c>
      <c r="B8" s="10" t="str">
        <f aca="false">INDEX(Parent_Reference!$C$2:$C$16,MATCH(A8,Parent_Reference!$A$2:$A$16,0))</f>
        <v>Qatari/Spanish</v>
      </c>
      <c r="C8" s="10" t="n">
        <f aca="false">COUNTIF(Horse_Summary!$C$2:$C$41,A8)</f>
        <v>8</v>
      </c>
      <c r="D8" s="11" t="n">
        <f aca="false">AVERAGEIF(Horse_Summary!$C$2:$C$41,A8,Horse_Summary!$O$2:$O$41)</f>
        <v>108.954166666667</v>
      </c>
      <c r="E8" s="11" t="n">
        <f aca="false">SQRT(SUMPRODUCT((Horse_Summary!$C$2:$C$41=A8)*(Horse_Summary!$O$2:$O$41-D8)^2)/(C8-1))</f>
        <v>2.02319388395267</v>
      </c>
      <c r="F8" s="11" t="n">
        <f aca="false">_xlfn.MINIFS(Horse_Summary!$O$2:$O$41,Horse_Summary!$C$2:$C$41,A8)</f>
        <v>105.8</v>
      </c>
      <c r="G8" s="11" t="n">
        <f aca="false">_xlfn.MAXIFS(Horse_Summary!$O$2:$O$41,Horse_Summary!$C$2:$C$41,A8)</f>
        <v>111.1</v>
      </c>
      <c r="H8" s="10" t="n">
        <f aca="false">COUNTIFS(Horse_Summary!$C$2:$C$41,A8,Horse_Summary!$S$2:$S$41,"Elite")</f>
        <v>0</v>
      </c>
      <c r="I8" s="12" t="n">
        <f aca="false">H8/C8</f>
        <v>0</v>
      </c>
      <c r="J8" s="28" t="n">
        <f aca="false">INDEX(Parent_Reference!$D$2:$D$16,MATCH(A8,Parent_Reference!$A$2:$A$16,0))</f>
        <v>112.9</v>
      </c>
      <c r="K8" s="20" t="n">
        <f aca="false">D8-J8</f>
        <v>-3.94583333333334</v>
      </c>
      <c r="L8" s="10" t="str">
        <f aca="false">INDEX(Horse_Summary!$B$2:$B$41,MATCH(A8&amp;"|1",Horse_Summary!$Z$2:$Z$41,0))</f>
        <v>HA Saffron Golden Star</v>
      </c>
      <c r="M8" s="10" t="n">
        <f aca="false">RANK(D8,$D$6:$D$10,0)</f>
        <v>3</v>
      </c>
    </row>
    <row r="9" customFormat="false" ht="15" hidden="false" customHeight="false" outlineLevel="0" collapsed="false">
      <c r="A9" s="13" t="s">
        <v>157</v>
      </c>
      <c r="B9" s="13" t="str">
        <f aca="false">INDEX(Parent_Reference!$C$2:$C$16,MATCH(A9,Parent_Reference!$A$2:$A$16,0))</f>
        <v>Brazilian/International</v>
      </c>
      <c r="C9" s="13" t="n">
        <f aca="false">COUNTIF(Horse_Summary!$C$2:$C$41,A9)</f>
        <v>8</v>
      </c>
      <c r="D9" s="14" t="n">
        <f aca="false">AVERAGEIF(Horse_Summary!$C$2:$C$41,A9,Horse_Summary!$O$2:$O$41)</f>
        <v>108.904166666667</v>
      </c>
      <c r="E9" s="14" t="n">
        <f aca="false">SQRT(SUMPRODUCT((Horse_Summary!$C$2:$C$41=A9)*(Horse_Summary!$O$2:$O$41-D9)^2)/(C9-1))</f>
        <v>1.59089048638884</v>
      </c>
      <c r="F9" s="14" t="n">
        <f aca="false">_xlfn.MINIFS(Horse_Summary!$O$2:$O$41,Horse_Summary!$C$2:$C$41,A9)</f>
        <v>106.833333333333</v>
      </c>
      <c r="G9" s="14" t="n">
        <f aca="false">_xlfn.MAXIFS(Horse_Summary!$O$2:$O$41,Horse_Summary!$C$2:$C$41,A9)</f>
        <v>111.433333333333</v>
      </c>
      <c r="H9" s="13" t="n">
        <f aca="false">COUNTIFS(Horse_Summary!$C$2:$C$41,A9,Horse_Summary!$S$2:$S$41,"Elite")</f>
        <v>0</v>
      </c>
      <c r="I9" s="15" t="n">
        <f aca="false">H9/C9</f>
        <v>0</v>
      </c>
      <c r="J9" s="29" t="n">
        <f aca="false">INDEX(Parent_Reference!$D$2:$D$16,MATCH(A9,Parent_Reference!$A$2:$A$16,0))</f>
        <v>111.7</v>
      </c>
      <c r="K9" s="21" t="n">
        <f aca="false">D9-J9</f>
        <v>-2.79583333333333</v>
      </c>
      <c r="L9" s="13" t="str">
        <f aca="false">INDEX(Horse_Summary!$B$2:$B$41,MATCH(A9&amp;"|1",Horse_Summary!$Z$2:$Z$41,0))</f>
        <v>HA Malika Amethyst</v>
      </c>
      <c r="M9" s="13" t="n">
        <f aca="false">RANK(D9,$D$6:$D$10,0)</f>
        <v>4</v>
      </c>
    </row>
    <row r="10" customFormat="false" ht="15" hidden="false" customHeight="false" outlineLevel="0" collapsed="false">
      <c r="A10" s="10" t="s">
        <v>171</v>
      </c>
      <c r="B10" s="10" t="str">
        <f aca="false">INDEX(Parent_Reference!$C$2:$C$16,MATCH(A10,Parent_Reference!$A$2:$A$16,0))</f>
        <v>American/International</v>
      </c>
      <c r="C10" s="10" t="n">
        <f aca="false">COUNTIF(Horse_Summary!$C$2:$C$41,A10)</f>
        <v>7</v>
      </c>
      <c r="D10" s="11" t="n">
        <f aca="false">AVERAGEIF(Horse_Summary!$C$2:$C$41,A10,Horse_Summary!$O$2:$O$41)</f>
        <v>106.104761904762</v>
      </c>
      <c r="E10" s="11" t="n">
        <f aca="false">SQRT(SUMPRODUCT((Horse_Summary!$C$2:$C$41=A10)*(Horse_Summary!$O$2:$O$41-D10)^2)/(C10-1))</f>
        <v>2.76455264423584</v>
      </c>
      <c r="F10" s="11" t="n">
        <f aca="false">_xlfn.MINIFS(Horse_Summary!$O$2:$O$41,Horse_Summary!$C$2:$C$41,A10)</f>
        <v>103.466666666667</v>
      </c>
      <c r="G10" s="11" t="n">
        <f aca="false">_xlfn.MAXIFS(Horse_Summary!$O$2:$O$41,Horse_Summary!$C$2:$C$41,A10)</f>
        <v>110.166666666667</v>
      </c>
      <c r="H10" s="10" t="n">
        <f aca="false">COUNTIFS(Horse_Summary!$C$2:$C$41,A10,Horse_Summary!$S$2:$S$41,"Elite")</f>
        <v>0</v>
      </c>
      <c r="I10" s="12" t="n">
        <f aca="false">H10/C10</f>
        <v>0</v>
      </c>
      <c r="J10" s="28" t="n">
        <f aca="false">INDEX(Parent_Reference!$D$2:$D$16,MATCH(A10,Parent_Reference!$A$2:$A$16,0))</f>
        <v>111.3</v>
      </c>
      <c r="K10" s="20" t="n">
        <f aca="false">D10-J10</f>
        <v>-5.1952380952381</v>
      </c>
      <c r="L10" s="10" t="str">
        <f aca="false">INDEX(Horse_Summary!$B$2:$B$41,MATCH(A10&amp;"|1",Horse_Summary!$Z$2:$Z$41,0))</f>
        <v>HA Soraya Amethyst</v>
      </c>
      <c r="M10" s="10" t="n">
        <f aca="false">RANK(D10,$D$6:$D$10,0)</f>
        <v>5</v>
      </c>
    </row>
    <row r="11" customFormat="false" ht="15" hidden="false" customHeight="false" outlineLevel="0" collapsed="false">
      <c r="A11" s="30" t="s">
        <v>488</v>
      </c>
      <c r="B11" s="30"/>
      <c r="C11" s="30" t="n">
        <f aca="false">SUM(C6:C10)</f>
        <v>40</v>
      </c>
      <c r="D11" s="31" t="n">
        <f aca="false">AVERAGE(Horse_Summary!$O$2:$O$41)</f>
        <v>109.8425</v>
      </c>
      <c r="E11" s="31" t="n">
        <f aca="false">STDEV(Horse_Summary!$O$2:$O$41)</f>
        <v>2.89230226517949</v>
      </c>
      <c r="F11" s="31" t="n">
        <f aca="false">MIN(Horse_Summary!$O$2:$O$41)</f>
        <v>103.466666666667</v>
      </c>
      <c r="G11" s="31" t="n">
        <f aca="false">MAX(Horse_Summary!$O$2:$O$41)</f>
        <v>114.333333333333</v>
      </c>
      <c r="H11" s="30" t="n">
        <f aca="false">SUM(H6:H10)</f>
        <v>11</v>
      </c>
      <c r="I11" s="32" t="n">
        <f aca="false">H11/C11</f>
        <v>0.275</v>
      </c>
      <c r="J11" s="33"/>
      <c r="K11" s="34"/>
      <c r="L11" s="30"/>
      <c r="M11" s="30"/>
    </row>
    <row r="13" customFormat="false" ht="15" hidden="false" customHeight="false" outlineLevel="0" collapsed="false">
      <c r="A13" s="8" t="s">
        <v>489</v>
      </c>
    </row>
    <row r="14" customFormat="false" ht="23.85" hidden="false" customHeight="false" outlineLevel="0" collapsed="false">
      <c r="A14" s="9" t="s">
        <v>12</v>
      </c>
      <c r="B14" s="9" t="s">
        <v>32</v>
      </c>
      <c r="C14" s="9" t="s">
        <v>33</v>
      </c>
      <c r="D14" s="9" t="s">
        <v>34</v>
      </c>
      <c r="E14" s="9" t="s">
        <v>35</v>
      </c>
      <c r="F14" s="9" t="s">
        <v>36</v>
      </c>
      <c r="G14" s="9" t="s">
        <v>37</v>
      </c>
      <c r="H14" s="9" t="s">
        <v>25</v>
      </c>
      <c r="I14" s="9" t="s">
        <v>490</v>
      </c>
    </row>
    <row r="15" customFormat="false" ht="15" hidden="false" customHeight="false" outlineLevel="0" collapsed="false">
      <c r="A15" s="10" t="s">
        <v>111</v>
      </c>
      <c r="B15" s="11" t="n">
        <f aca="false">AVERAGEIF(Horse_Summary!$C$2:$C$41,$A15,Horse_Summary!$I$2:$I$41)</f>
        <v>18.8433333333333</v>
      </c>
      <c r="C15" s="11" t="n">
        <f aca="false">AVERAGEIF(Horse_Summary!$C$2:$C$41,$A15,Horse_Summary!$J$2:$J$41)</f>
        <v>18.2933333333333</v>
      </c>
      <c r="D15" s="11" t="n">
        <f aca="false">AVERAGEIF(Horse_Summary!$C$2:$C$41,$A15,Horse_Summary!$K$2:$K$41)</f>
        <v>19.0033333333333</v>
      </c>
      <c r="E15" s="11" t="n">
        <f aca="false">AVERAGEIF(Horse_Summary!$C$2:$C$41,$A15,Horse_Summary!$L$2:$L$41)</f>
        <v>18.4533333333333</v>
      </c>
      <c r="F15" s="11" t="n">
        <f aca="false">AVERAGEIF(Horse_Summary!$C$2:$C$41,$A15,Horse_Summary!$M$2:$M$41)</f>
        <v>19.2066666666667</v>
      </c>
      <c r="G15" s="11" t="n">
        <f aca="false">AVERAGEIF(Horse_Summary!$C$2:$C$41,$A15,Horse_Summary!$N$2:$N$41)</f>
        <v>18.5066666666667</v>
      </c>
      <c r="H15" s="10" t="str">
        <f aca="false">INDEX($B$14:$G$14,MATCH(MAX(B15:G15),B15:G15,0))</f>
        <v>Movement</v>
      </c>
      <c r="I15" s="10" t="str">
        <f aca="false">INDEX($B$14:$G$14,MATCH(MIN(B15:G15),B15:G15,0))</f>
        <v>Head_Neck</v>
      </c>
    </row>
    <row r="16" customFormat="false" ht="15" hidden="false" customHeight="false" outlineLevel="0" collapsed="false">
      <c r="A16" s="13" t="s">
        <v>147</v>
      </c>
      <c r="B16" s="14" t="n">
        <f aca="false">AVERAGEIF(Horse_Summary!$C$2:$C$41,$A16,Horse_Summary!$I$2:$I$41)</f>
        <v>19.0380952380952</v>
      </c>
      <c r="C16" s="14" t="n">
        <f aca="false">AVERAGEIF(Horse_Summary!$C$2:$C$41,$A16,Horse_Summary!$J$2:$J$41)</f>
        <v>18.9142857142857</v>
      </c>
      <c r="D16" s="14" t="n">
        <f aca="false">AVERAGEIF(Horse_Summary!$C$2:$C$41,$A16,Horse_Summary!$K$2:$K$41)</f>
        <v>18.2666666666667</v>
      </c>
      <c r="E16" s="14" t="n">
        <f aca="false">AVERAGEIF(Horse_Summary!$C$2:$C$41,$A16,Horse_Summary!$L$2:$L$41)</f>
        <v>18.4809523809524</v>
      </c>
      <c r="F16" s="14" t="n">
        <f aca="false">AVERAGEIF(Horse_Summary!$C$2:$C$41,$A16,Horse_Summary!$M$2:$M$41)</f>
        <v>18.7761904761905</v>
      </c>
      <c r="G16" s="14" t="n">
        <f aca="false">AVERAGEIF(Horse_Summary!$C$2:$C$41,$A16,Horse_Summary!$N$2:$N$41)</f>
        <v>18.6714285714286</v>
      </c>
      <c r="H16" s="13" t="str">
        <f aca="false">INDEX($B$14:$G$14,MATCH(MAX(B16:G16),B16:G16,0))</f>
        <v>Type</v>
      </c>
      <c r="I16" s="13" t="str">
        <f aca="false">INDEX($B$14:$G$14,MATCH(MIN(B16:G16),B16:G16,0))</f>
        <v>Body_Topline</v>
      </c>
    </row>
    <row r="17" customFormat="false" ht="15" hidden="false" customHeight="false" outlineLevel="0" collapsed="false">
      <c r="A17" s="10" t="s">
        <v>135</v>
      </c>
      <c r="B17" s="11" t="n">
        <f aca="false">AVERAGEIF(Horse_Summary!$C$2:$C$41,$A17,Horse_Summary!$I$2:$I$41)</f>
        <v>18.4166666666667</v>
      </c>
      <c r="C17" s="11" t="n">
        <f aca="false">AVERAGEIF(Horse_Summary!$C$2:$C$41,$A17,Horse_Summary!$J$2:$J$41)</f>
        <v>18.7416666666667</v>
      </c>
      <c r="D17" s="11" t="n">
        <f aca="false">AVERAGEIF(Horse_Summary!$C$2:$C$41,$A17,Horse_Summary!$K$2:$K$41)</f>
        <v>17.5791666666667</v>
      </c>
      <c r="E17" s="11" t="n">
        <f aca="false">AVERAGEIF(Horse_Summary!$C$2:$C$41,$A17,Horse_Summary!$L$2:$L$41)</f>
        <v>17.9458333333333</v>
      </c>
      <c r="F17" s="11" t="n">
        <f aca="false">AVERAGEIF(Horse_Summary!$C$2:$C$41,$A17,Horse_Summary!$M$2:$M$41)</f>
        <v>18.1291666666667</v>
      </c>
      <c r="G17" s="11" t="n">
        <f aca="false">AVERAGEIF(Horse_Summary!$C$2:$C$41,$A17,Horse_Summary!$N$2:$N$41)</f>
        <v>18.1416666666667</v>
      </c>
      <c r="H17" s="10" t="str">
        <f aca="false">INDEX($B$14:$G$14,MATCH(MAX(B17:G17),B17:G17,0))</f>
        <v>Head_Neck</v>
      </c>
      <c r="I17" s="10" t="str">
        <f aca="false">INDEX($B$14:$G$14,MATCH(MIN(B17:G17),B17:G17,0))</f>
        <v>Body_Topline</v>
      </c>
    </row>
    <row r="18" customFormat="false" ht="15" hidden="false" customHeight="false" outlineLevel="0" collapsed="false">
      <c r="A18" s="13" t="s">
        <v>157</v>
      </c>
      <c r="B18" s="14" t="n">
        <f aca="false">AVERAGEIF(Horse_Summary!$C$2:$C$41,$A18,Horse_Summary!$I$2:$I$41)</f>
        <v>18.2458333333333</v>
      </c>
      <c r="C18" s="14" t="n">
        <f aca="false">AVERAGEIF(Horse_Summary!$C$2:$C$41,$A18,Horse_Summary!$J$2:$J$41)</f>
        <v>18.6</v>
      </c>
      <c r="D18" s="14" t="n">
        <f aca="false">AVERAGEIF(Horse_Summary!$C$2:$C$41,$A18,Horse_Summary!$K$2:$K$41)</f>
        <v>18.1833333333333</v>
      </c>
      <c r="E18" s="14" t="n">
        <f aca="false">AVERAGEIF(Horse_Summary!$C$2:$C$41,$A18,Horse_Summary!$L$2:$L$41)</f>
        <v>17.8208333333333</v>
      </c>
      <c r="F18" s="14" t="n">
        <f aca="false">AVERAGEIF(Horse_Summary!$C$2:$C$41,$A18,Horse_Summary!$M$2:$M$41)</f>
        <v>17.8666666666667</v>
      </c>
      <c r="G18" s="14" t="n">
        <f aca="false">AVERAGEIF(Horse_Summary!$C$2:$C$41,$A18,Horse_Summary!$N$2:$N$41)</f>
        <v>18.1875</v>
      </c>
      <c r="H18" s="13" t="str">
        <f aca="false">INDEX($B$14:$G$14,MATCH(MAX(B18:G18),B18:G18,0))</f>
        <v>Head_Neck</v>
      </c>
      <c r="I18" s="13" t="str">
        <f aca="false">INDEX($B$14:$G$14,MATCH(MIN(B18:G18),B18:G18,0))</f>
        <v>Legs</v>
      </c>
    </row>
    <row r="19" customFormat="false" ht="15" hidden="false" customHeight="false" outlineLevel="0" collapsed="false">
      <c r="A19" s="10" t="s">
        <v>171</v>
      </c>
      <c r="B19" s="11" t="n">
        <f aca="false">AVERAGEIF(Horse_Summary!$C$2:$C$41,$A19,Horse_Summary!$I$2:$I$41)</f>
        <v>17.5142857142857</v>
      </c>
      <c r="C19" s="11" t="n">
        <f aca="false">AVERAGEIF(Horse_Summary!$C$2:$C$41,$A19,Horse_Summary!$J$2:$J$41)</f>
        <v>17.1619047619048</v>
      </c>
      <c r="D19" s="11" t="n">
        <f aca="false">AVERAGEIF(Horse_Summary!$C$2:$C$41,$A19,Horse_Summary!$K$2:$K$41)</f>
        <v>18.2952380952381</v>
      </c>
      <c r="E19" s="11" t="n">
        <f aca="false">AVERAGEIF(Horse_Summary!$C$2:$C$41,$A19,Horse_Summary!$L$2:$L$41)</f>
        <v>17.852380952381</v>
      </c>
      <c r="F19" s="11" t="n">
        <f aca="false">AVERAGEIF(Horse_Summary!$C$2:$C$41,$A19,Horse_Summary!$M$2:$M$41)</f>
        <v>17.3904761904762</v>
      </c>
      <c r="G19" s="11" t="n">
        <f aca="false">AVERAGEIF(Horse_Summary!$C$2:$C$41,$A19,Horse_Summary!$N$2:$N$41)</f>
        <v>17.8904761904762</v>
      </c>
      <c r="H19" s="10" t="str">
        <f aca="false">INDEX($B$14:$G$14,MATCH(MAX(B19:G19),B19:G19,0))</f>
        <v>Body_Topline</v>
      </c>
      <c r="I19" s="10" t="str">
        <f aca="false">INDEX($B$14:$G$14,MATCH(MIN(B19:G19),B19:G19,0))</f>
        <v>Head_Neck</v>
      </c>
    </row>
    <row r="20" customFormat="false" ht="15" hidden="false" customHeight="false" outlineLevel="0" collapsed="false">
      <c r="A20" s="30" t="s">
        <v>488</v>
      </c>
      <c r="B20" s="31" t="n">
        <f aca="false">AVERAGE(Horse_Summary!$I$2:$I$41)</f>
        <v>18.44</v>
      </c>
      <c r="C20" s="31" t="n">
        <f aca="false">AVERAGE(Horse_Summary!$J$2:$J$41)</f>
        <v>18.355</v>
      </c>
      <c r="D20" s="31" t="n">
        <f aca="false">AVERAGE(Horse_Summary!$K$2:$K$41)</f>
        <v>18.3016666666667</v>
      </c>
      <c r="E20" s="31" t="n">
        <f aca="false">AVERAGE(Horse_Summary!$L$2:$L$41)</f>
        <v>18.125</v>
      </c>
      <c r="F20" s="31" t="n">
        <f aca="false">AVERAGE(Horse_Summary!$M$2:$M$41)</f>
        <v>18.33</v>
      </c>
      <c r="G20" s="31" t="n">
        <f aca="false">AVERAGE(Horse_Summary!$N$2:$N$41)</f>
        <v>18.2908333333333</v>
      </c>
      <c r="H20" s="30" t="str">
        <f aca="false">INDEX($B$14:$G$14,MATCH(MAX(B20:G20),B20:G20,0))</f>
        <v>Type</v>
      </c>
      <c r="I20" s="30" t="str">
        <f aca="false">INDEX($B$14:$G$14,MATCH(MIN(B20:G20),B20:G20,0))</f>
        <v>Legs</v>
      </c>
    </row>
    <row r="22" customFormat="false" ht="15" hidden="false" customHeight="false" outlineLevel="0" collapsed="false">
      <c r="A22" s="8" t="s">
        <v>491</v>
      </c>
    </row>
    <row r="23" customFormat="false" ht="23.85" hidden="false" customHeight="false" outlineLevel="0" collapsed="false">
      <c r="A23" s="9" t="s">
        <v>12</v>
      </c>
      <c r="B23" s="9" t="s">
        <v>32</v>
      </c>
      <c r="C23" s="9" t="s">
        <v>33</v>
      </c>
      <c r="D23" s="9" t="s">
        <v>34</v>
      </c>
      <c r="E23" s="9" t="s">
        <v>35</v>
      </c>
      <c r="F23" s="9" t="s">
        <v>36</v>
      </c>
      <c r="G23" s="9" t="s">
        <v>37</v>
      </c>
      <c r="H23" s="9" t="s">
        <v>492</v>
      </c>
    </row>
    <row r="24" customFormat="false" ht="15" hidden="false" customHeight="false" outlineLevel="0" collapsed="false">
      <c r="A24" s="10" t="str">
        <f aca="false">A15</f>
        <v>Pogrom</v>
      </c>
      <c r="B24" s="20" t="n">
        <f aca="false">B15-B$20</f>
        <v>0.403333333333332</v>
      </c>
      <c r="C24" s="20" t="n">
        <f aca="false">C15-C$20</f>
        <v>-0.0616666666666674</v>
      </c>
      <c r="D24" s="20" t="n">
        <f aca="false">D15-D$20</f>
        <v>0.701666666666664</v>
      </c>
      <c r="E24" s="20" t="n">
        <f aca="false">E15-E$20</f>
        <v>0.328333333333333</v>
      </c>
      <c r="F24" s="20" t="n">
        <f aca="false">F15-F$20</f>
        <v>0.876666666666665</v>
      </c>
      <c r="G24" s="20" t="n">
        <f aca="false">G15-G$20</f>
        <v>0.215833333333336</v>
      </c>
      <c r="H24" s="20" t="n">
        <f aca="false">SUM(B24:G24)</f>
        <v>2.46416666666666</v>
      </c>
    </row>
    <row r="25" customFormat="false" ht="15" hidden="false" customHeight="false" outlineLevel="0" collapsed="false">
      <c r="A25" s="10" t="str">
        <f aca="false">A16</f>
        <v>Cavali by Da Valentio</v>
      </c>
      <c r="B25" s="20" t="n">
        <f aca="false">B16-B$20</f>
        <v>0.59809523809524</v>
      </c>
      <c r="C25" s="20" t="n">
        <f aca="false">C16-C$20</f>
        <v>0.559285714285714</v>
      </c>
      <c r="D25" s="20" t="n">
        <f aca="false">D16-D$20</f>
        <v>-0.0350000000000037</v>
      </c>
      <c r="E25" s="20" t="n">
        <f aca="false">E16-E$20</f>
        <v>0.355952380952381</v>
      </c>
      <c r="F25" s="20" t="n">
        <f aca="false">F16-F$20</f>
        <v>0.446190476190473</v>
      </c>
      <c r="G25" s="20" t="n">
        <f aca="false">G16-G$20</f>
        <v>0.380595238095239</v>
      </c>
      <c r="H25" s="20" t="n">
        <f aca="false">SUM(B25:G25)</f>
        <v>2.30511904761904</v>
      </c>
    </row>
    <row r="26" customFormat="false" ht="15" hidden="false" customHeight="false" outlineLevel="0" collapsed="false">
      <c r="A26" s="10" t="str">
        <f aca="false">A17</f>
        <v>Abha Qatar</v>
      </c>
      <c r="B26" s="20" t="n">
        <f aca="false">B17-B$20</f>
        <v>-0.023333333333337</v>
      </c>
      <c r="C26" s="20" t="n">
        <f aca="false">C17-C$20</f>
        <v>0.386666666666667</v>
      </c>
      <c r="D26" s="20" t="n">
        <f aca="false">D17-D$20</f>
        <v>-0.722500000000004</v>
      </c>
      <c r="E26" s="20" t="n">
        <f aca="false">E17-E$20</f>
        <v>-0.179166666666667</v>
      </c>
      <c r="F26" s="20" t="n">
        <f aca="false">F17-F$20</f>
        <v>-0.200833333333335</v>
      </c>
      <c r="G26" s="20" t="n">
        <f aca="false">G17-G$20</f>
        <v>-0.149166666666666</v>
      </c>
      <c r="H26" s="20" t="n">
        <f aca="false">SUM(B26:G26)</f>
        <v>-0.888333333333343</v>
      </c>
    </row>
    <row r="27" customFormat="false" ht="15" hidden="false" customHeight="false" outlineLevel="0" collapsed="false">
      <c r="A27" s="10" t="str">
        <f aca="false">A18</f>
        <v>Van Gogh AM</v>
      </c>
      <c r="B27" s="20" t="n">
        <f aca="false">B18-B$20</f>
        <v>-0.194166666666668</v>
      </c>
      <c r="C27" s="20" t="n">
        <f aca="false">C18-C$20</f>
        <v>0.245000000000001</v>
      </c>
      <c r="D27" s="20" t="n">
        <f aca="false">D18-D$20</f>
        <v>-0.118333333333336</v>
      </c>
      <c r="E27" s="20" t="n">
        <f aca="false">E18-E$20</f>
        <v>-0.304166666666667</v>
      </c>
      <c r="F27" s="20" t="n">
        <f aca="false">F18-F$20</f>
        <v>-0.463333333333335</v>
      </c>
      <c r="G27" s="20" t="n">
        <f aca="false">G18-G$20</f>
        <v>-0.103333333333332</v>
      </c>
      <c r="H27" s="20" t="n">
        <f aca="false">SUM(B27:G27)</f>
        <v>-0.938333333333336</v>
      </c>
    </row>
    <row r="28" customFormat="false" ht="15" hidden="false" customHeight="false" outlineLevel="0" collapsed="false">
      <c r="A28" s="10" t="str">
        <f aca="false">A19</f>
        <v>Titan AS</v>
      </c>
      <c r="B28" s="20" t="n">
        <f aca="false">B19-B$20</f>
        <v>-0.925714285714289</v>
      </c>
      <c r="C28" s="20" t="n">
        <f aca="false">C19-C$20</f>
        <v>-1.19309523809524</v>
      </c>
      <c r="D28" s="20" t="n">
        <f aca="false">D19-D$20</f>
        <v>-0.00642857142857523</v>
      </c>
      <c r="E28" s="20" t="n">
        <f aca="false">E19-E$20</f>
        <v>-0.272619047619049</v>
      </c>
      <c r="F28" s="20" t="n">
        <f aca="false">F19-F$20</f>
        <v>-0.939523809523813</v>
      </c>
      <c r="G28" s="20" t="n">
        <f aca="false">G19-G$20</f>
        <v>-0.400357142857143</v>
      </c>
      <c r="H28" s="20" t="n">
        <f aca="false">SUM(B28:G28)</f>
        <v>-3.73773809523811</v>
      </c>
    </row>
    <row r="30" customFormat="false" ht="15" hidden="false" customHeight="false" outlineLevel="0" collapsed="false">
      <c r="A30" s="8" t="s">
        <v>493</v>
      </c>
    </row>
    <row r="31" customFormat="false" ht="23.85" hidden="false" customHeight="false" outlineLevel="0" collapsed="false">
      <c r="A31" s="9" t="s">
        <v>494</v>
      </c>
      <c r="B31" s="9" t="s">
        <v>2</v>
      </c>
      <c r="C31" s="9" t="s">
        <v>15</v>
      </c>
      <c r="D31" s="9" t="s">
        <v>483</v>
      </c>
      <c r="E31" s="9" t="s">
        <v>484</v>
      </c>
      <c r="F31" s="9" t="s">
        <v>4</v>
      </c>
      <c r="G31" s="9" t="s">
        <v>495</v>
      </c>
      <c r="H31" s="9" t="s">
        <v>496</v>
      </c>
    </row>
    <row r="32" customFormat="false" ht="15" hidden="false" customHeight="false" outlineLevel="0" collapsed="false">
      <c r="A32" s="10" t="s">
        <v>149</v>
      </c>
      <c r="B32" s="10" t="n">
        <f aca="false">COUNTIF(Horse_Summary!$D$2:$D$41,A32)</f>
        <v>4</v>
      </c>
      <c r="C32" s="11" t="n">
        <f aca="false">AVERAGEIF(Horse_Summary!$D$2:$D$41,A32,Horse_Summary!$O$2:$O$41)</f>
        <v>111.791666666667</v>
      </c>
      <c r="D32" s="11" t="n">
        <f aca="false">_xlfn.MINIFS(Horse_Summary!$O$2:$O$41,Horse_Summary!$D$2:$D$41,A32)</f>
        <v>109.966666666667</v>
      </c>
      <c r="E32" s="11" t="n">
        <f aca="false">_xlfn.MAXIFS(Horse_Summary!$O$2:$O$41,Horse_Summary!$D$2:$D$41,A32)</f>
        <v>114.333333333333</v>
      </c>
      <c r="F32" s="10" t="n">
        <f aca="false">COUNTIFS(Horse_Summary!$D$2:$D$41,A32,Horse_Summary!$S$2:$S$41,"Elite")</f>
        <v>2</v>
      </c>
      <c r="G32" s="28" t="n">
        <f aca="false">INDEX(Parent_Reference!$D$2:$D$16,MATCH(A32,Parent_Reference!$A$2:$A$16,0))</f>
        <v>111.5</v>
      </c>
      <c r="H32" s="20" t="n">
        <f aca="false">C32-G32</f>
        <v>0.291666666666657</v>
      </c>
    </row>
    <row r="33" customFormat="false" ht="15" hidden="false" customHeight="false" outlineLevel="0" collapsed="false">
      <c r="A33" s="13" t="s">
        <v>166</v>
      </c>
      <c r="B33" s="13" t="n">
        <f aca="false">COUNTIF(Horse_Summary!$D$2:$D$41,A33)</f>
        <v>6</v>
      </c>
      <c r="C33" s="14" t="n">
        <f aca="false">AVERAGEIF(Horse_Summary!$D$2:$D$41,A33,Horse_Summary!$O$2:$O$41)</f>
        <v>111.372222222222</v>
      </c>
      <c r="D33" s="14" t="n">
        <f aca="false">_xlfn.MINIFS(Horse_Summary!$O$2:$O$41,Horse_Summary!$D$2:$D$41,A33)</f>
        <v>110.433333333333</v>
      </c>
      <c r="E33" s="14" t="n">
        <f aca="false">_xlfn.MAXIFS(Horse_Summary!$O$2:$O$41,Horse_Summary!$D$2:$D$41,A33)</f>
        <v>112.133333333333</v>
      </c>
      <c r="F33" s="13" t="n">
        <f aca="false">COUNTIFS(Horse_Summary!$D$2:$D$41,A33,Horse_Summary!$S$2:$S$41,"Elite")</f>
        <v>2</v>
      </c>
      <c r="G33" s="29" t="n">
        <f aca="false">INDEX(Parent_Reference!$D$2:$D$16,MATCH(A33,Parent_Reference!$A$2:$A$16,0))</f>
        <v>107.6</v>
      </c>
      <c r="H33" s="21" t="n">
        <f aca="false">C33-G33</f>
        <v>3.77222222222223</v>
      </c>
    </row>
    <row r="34" customFormat="false" ht="15" hidden="false" customHeight="false" outlineLevel="0" collapsed="false">
      <c r="A34" s="10" t="s">
        <v>126</v>
      </c>
      <c r="B34" s="10" t="n">
        <f aca="false">COUNTIF(Horse_Summary!$D$2:$D$41,A34)</f>
        <v>2</v>
      </c>
      <c r="C34" s="11" t="n">
        <f aca="false">AVERAGEIF(Horse_Summary!$D$2:$D$41,A34,Horse_Summary!$O$2:$O$41)</f>
        <v>111.05</v>
      </c>
      <c r="D34" s="11" t="n">
        <f aca="false">_xlfn.MINIFS(Horse_Summary!$O$2:$O$41,Horse_Summary!$D$2:$D$41,A34)</f>
        <v>110.366666666667</v>
      </c>
      <c r="E34" s="11" t="n">
        <f aca="false">_xlfn.MAXIFS(Horse_Summary!$O$2:$O$41,Horse_Summary!$D$2:$D$41,A34)</f>
        <v>111.733333333333</v>
      </c>
      <c r="F34" s="10" t="n">
        <f aca="false">COUNTIFS(Horse_Summary!$D$2:$D$41,A34,Horse_Summary!$S$2:$S$41,"Elite")</f>
        <v>0</v>
      </c>
      <c r="G34" s="28" t="n">
        <f aca="false">INDEX(Parent_Reference!$D$2:$D$16,MATCH(A34,Parent_Reference!$A$2:$A$16,0))</f>
        <v>107.2</v>
      </c>
      <c r="H34" s="20" t="n">
        <f aca="false">C34-G34</f>
        <v>3.85000000000001</v>
      </c>
    </row>
    <row r="35" customFormat="false" ht="15" hidden="false" customHeight="false" outlineLevel="0" collapsed="false">
      <c r="A35" s="13" t="s">
        <v>226</v>
      </c>
      <c r="B35" s="13" t="n">
        <f aca="false">COUNTIF(Horse_Summary!$D$2:$D$41,A35)</f>
        <v>4</v>
      </c>
      <c r="C35" s="14" t="n">
        <f aca="false">AVERAGEIF(Horse_Summary!$D$2:$D$41,A35,Horse_Summary!$O$2:$O$41)</f>
        <v>110.25</v>
      </c>
      <c r="D35" s="14" t="n">
        <f aca="false">_xlfn.MINIFS(Horse_Summary!$O$2:$O$41,Horse_Summary!$D$2:$D$41,A35)</f>
        <v>107.3</v>
      </c>
      <c r="E35" s="14" t="n">
        <f aca="false">_xlfn.MAXIFS(Horse_Summary!$O$2:$O$41,Horse_Summary!$D$2:$D$41,A35)</f>
        <v>112.466666666667</v>
      </c>
      <c r="F35" s="13" t="n">
        <f aca="false">COUNTIFS(Horse_Summary!$D$2:$D$41,A35,Horse_Summary!$S$2:$S$41,"Elite")</f>
        <v>1</v>
      </c>
      <c r="G35" s="29" t="n">
        <f aca="false">INDEX(Parent_Reference!$D$2:$D$16,MATCH(A35,Parent_Reference!$A$2:$A$16,0))</f>
        <v>106.5</v>
      </c>
      <c r="H35" s="21" t="n">
        <f aca="false">C35-G35</f>
        <v>3.75</v>
      </c>
    </row>
    <row r="36" customFormat="false" ht="15" hidden="false" customHeight="false" outlineLevel="0" collapsed="false">
      <c r="A36" s="10" t="s">
        <v>184</v>
      </c>
      <c r="B36" s="10" t="n">
        <f aca="false">COUNTIF(Horse_Summary!$D$2:$D$41,A36)</f>
        <v>6</v>
      </c>
      <c r="C36" s="11" t="n">
        <f aca="false">AVERAGEIF(Horse_Summary!$D$2:$D$41,A36,Horse_Summary!$O$2:$O$41)</f>
        <v>109.794444444444</v>
      </c>
      <c r="D36" s="11" t="n">
        <f aca="false">_xlfn.MINIFS(Horse_Summary!$O$2:$O$41,Horse_Summary!$D$2:$D$41,A36)</f>
        <v>104.533333333333</v>
      </c>
      <c r="E36" s="11" t="n">
        <f aca="false">_xlfn.MAXIFS(Horse_Summary!$O$2:$O$41,Horse_Summary!$D$2:$D$41,A36)</f>
        <v>113.866666666667</v>
      </c>
      <c r="F36" s="10" t="n">
        <f aca="false">COUNTIFS(Horse_Summary!$D$2:$D$41,A36,Horse_Summary!$S$2:$S$41,"Elite")</f>
        <v>2</v>
      </c>
      <c r="G36" s="28" t="n">
        <f aca="false">INDEX(Parent_Reference!$D$2:$D$16,MATCH(A36,Parent_Reference!$A$2:$A$16,0))</f>
        <v>106.3</v>
      </c>
      <c r="H36" s="20" t="n">
        <f aca="false">C36-G36</f>
        <v>3.49444444444444</v>
      </c>
    </row>
    <row r="37" customFormat="false" ht="15" hidden="false" customHeight="false" outlineLevel="0" collapsed="false">
      <c r="A37" s="13" t="s">
        <v>113</v>
      </c>
      <c r="B37" s="13" t="n">
        <f aca="false">COUNTIF(Horse_Summary!$D$2:$D$41,A37)</f>
        <v>8</v>
      </c>
      <c r="C37" s="14" t="n">
        <f aca="false">AVERAGEIF(Horse_Summary!$D$2:$D$41,A37,Horse_Summary!$O$2:$O$41)</f>
        <v>109.616666666667</v>
      </c>
      <c r="D37" s="14" t="n">
        <f aca="false">_xlfn.MINIFS(Horse_Summary!$O$2:$O$41,Horse_Summary!$D$2:$D$41,A37)</f>
        <v>105.8</v>
      </c>
      <c r="E37" s="14" t="n">
        <f aca="false">_xlfn.MAXIFS(Horse_Summary!$O$2:$O$41,Horse_Summary!$D$2:$D$41,A37)</f>
        <v>113.933333333333</v>
      </c>
      <c r="F37" s="13" t="n">
        <f aca="false">COUNTIFS(Horse_Summary!$D$2:$D$41,A37,Horse_Summary!$S$2:$S$41,"Elite")</f>
        <v>2</v>
      </c>
      <c r="G37" s="29" t="n">
        <f aca="false">INDEX(Parent_Reference!$D$2:$D$16,MATCH(A37,Parent_Reference!$A$2:$A$16,0))</f>
        <v>106.5</v>
      </c>
      <c r="H37" s="21" t="n">
        <f aca="false">C37-G37</f>
        <v>3.11666666666667</v>
      </c>
    </row>
    <row r="38" customFormat="false" ht="15" hidden="false" customHeight="false" outlineLevel="0" collapsed="false">
      <c r="A38" s="10" t="s">
        <v>190</v>
      </c>
      <c r="B38" s="10" t="n">
        <f aca="false">COUNTIF(Horse_Summary!$D$2:$D$41,A38)</f>
        <v>4</v>
      </c>
      <c r="C38" s="11" t="n">
        <f aca="false">AVERAGEIF(Horse_Summary!$D$2:$D$41,A38,Horse_Summary!$O$2:$O$41)</f>
        <v>108.7</v>
      </c>
      <c r="D38" s="11" t="n">
        <f aca="false">_xlfn.MINIFS(Horse_Summary!$O$2:$O$41,Horse_Summary!$D$2:$D$41,A38)</f>
        <v>104.633333333333</v>
      </c>
      <c r="E38" s="11" t="n">
        <f aca="false">_xlfn.MAXIFS(Horse_Summary!$O$2:$O$41,Horse_Summary!$D$2:$D$41,A38)</f>
        <v>112.933333333333</v>
      </c>
      <c r="F38" s="10" t="n">
        <f aca="false">COUNTIFS(Horse_Summary!$D$2:$D$41,A38,Horse_Summary!$S$2:$S$41,"Elite")</f>
        <v>1</v>
      </c>
      <c r="G38" s="28" t="n">
        <f aca="false">INDEX(Parent_Reference!$D$2:$D$16,MATCH(A38,Parent_Reference!$A$2:$A$16,0))</f>
        <v>109.7</v>
      </c>
      <c r="H38" s="20" t="n">
        <f aca="false">C38-G38</f>
        <v>-1.00000000000001</v>
      </c>
    </row>
    <row r="39" customFormat="false" ht="15" hidden="false" customHeight="false" outlineLevel="0" collapsed="false">
      <c r="A39" s="13" t="s">
        <v>195</v>
      </c>
      <c r="B39" s="13" t="n">
        <f aca="false">COUNTIF(Horse_Summary!$D$2:$D$41,A39)</f>
        <v>4</v>
      </c>
      <c r="C39" s="14" t="n">
        <f aca="false">AVERAGEIF(Horse_Summary!$D$2:$D$41,A39,Horse_Summary!$O$2:$O$41)</f>
        <v>108.375</v>
      </c>
      <c r="D39" s="14" t="n">
        <f aca="false">_xlfn.MINIFS(Horse_Summary!$O$2:$O$41,Horse_Summary!$D$2:$D$41,A39)</f>
        <v>103.466666666667</v>
      </c>
      <c r="E39" s="14" t="n">
        <f aca="false">_xlfn.MAXIFS(Horse_Summary!$O$2:$O$41,Horse_Summary!$D$2:$D$41,A39)</f>
        <v>112.8</v>
      </c>
      <c r="F39" s="13" t="n">
        <f aca="false">COUNTIFS(Horse_Summary!$D$2:$D$41,A39,Horse_Summary!$S$2:$S$41,"Elite")</f>
        <v>1</v>
      </c>
      <c r="G39" s="29" t="n">
        <f aca="false">INDEX(Parent_Reference!$D$2:$D$16,MATCH(A39,Parent_Reference!$A$2:$A$16,0))</f>
        <v>112</v>
      </c>
      <c r="H39" s="21" t="n">
        <f aca="false">C39-G39</f>
        <v>-3.625</v>
      </c>
    </row>
    <row r="40" customFormat="false" ht="15" hidden="false" customHeight="false" outlineLevel="0" collapsed="false">
      <c r="A40" s="10" t="s">
        <v>137</v>
      </c>
      <c r="B40" s="10" t="n">
        <f aca="false">COUNTIF(Horse_Summary!$D$2:$D$41,A40)</f>
        <v>1</v>
      </c>
      <c r="C40" s="11" t="n">
        <f aca="false">AVERAGEIF(Horse_Summary!$D$2:$D$41,A40,Horse_Summary!$O$2:$O$41)</f>
        <v>107.733333333333</v>
      </c>
      <c r="D40" s="11" t="n">
        <f aca="false">_xlfn.MINIFS(Horse_Summary!$O$2:$O$41,Horse_Summary!$D$2:$D$41,A40)</f>
        <v>107.733333333333</v>
      </c>
      <c r="E40" s="11" t="n">
        <f aca="false">_xlfn.MAXIFS(Horse_Summary!$O$2:$O$41,Horse_Summary!$D$2:$D$41,A40)</f>
        <v>107.733333333333</v>
      </c>
      <c r="F40" s="10" t="n">
        <f aca="false">COUNTIFS(Horse_Summary!$D$2:$D$41,A40,Horse_Summary!$S$2:$S$41,"Elite")</f>
        <v>0</v>
      </c>
      <c r="G40" s="28" t="n">
        <f aca="false">INDEX(Parent_Reference!$D$2:$D$16,MATCH(A40,Parent_Reference!$A$2:$A$16,0))</f>
        <v>106.8</v>
      </c>
      <c r="H40" s="20" t="n">
        <f aca="false">C40-G40</f>
        <v>0.933333333333337</v>
      </c>
    </row>
    <row r="41" customFormat="false" ht="15" hidden="false" customHeight="false" outlineLevel="0" collapsed="false">
      <c r="A41" s="13" t="s">
        <v>173</v>
      </c>
      <c r="B41" s="13" t="n">
        <f aca="false">COUNTIF(Horse_Summary!$D$2:$D$41,A41)</f>
        <v>1</v>
      </c>
      <c r="C41" s="14" t="n">
        <f aca="false">AVERAGEIF(Horse_Summary!$D$2:$D$41,A41,Horse_Summary!$O$2:$O$41)</f>
        <v>103.466666666667</v>
      </c>
      <c r="D41" s="14" t="n">
        <f aca="false">_xlfn.MINIFS(Horse_Summary!$O$2:$O$41,Horse_Summary!$D$2:$D$41,A41)</f>
        <v>103.466666666667</v>
      </c>
      <c r="E41" s="14" t="n">
        <f aca="false">_xlfn.MAXIFS(Horse_Summary!$O$2:$O$41,Horse_Summary!$D$2:$D$41,A41)</f>
        <v>103.466666666667</v>
      </c>
      <c r="F41" s="13" t="n">
        <f aca="false">COUNTIFS(Horse_Summary!$D$2:$D$41,A41,Horse_Summary!$S$2:$S$41,"Elite")</f>
        <v>0</v>
      </c>
      <c r="G41" s="29" t="n">
        <f aca="false">INDEX(Parent_Reference!$D$2:$D$16,MATCH(A41,Parent_Reference!$A$2:$A$16,0))</f>
        <v>104.6</v>
      </c>
      <c r="H41" s="21" t="n">
        <f aca="false">C41-G41</f>
        <v>-1.13333333333334</v>
      </c>
    </row>
    <row r="43" customFormat="false" ht="15" hidden="false" customHeight="false" outlineLevel="0" collapsed="false">
      <c r="A43" s="8" t="s">
        <v>497</v>
      </c>
    </row>
    <row r="44" customFormat="false" ht="15" hidden="false" customHeight="false" outlineLevel="0" collapsed="false">
      <c r="A44" s="9" t="s">
        <v>494</v>
      </c>
      <c r="B44" s="9" t="s">
        <v>2</v>
      </c>
      <c r="C44" s="9" t="s">
        <v>15</v>
      </c>
      <c r="D44" s="9" t="s">
        <v>483</v>
      </c>
      <c r="E44" s="9" t="s">
        <v>484</v>
      </c>
      <c r="F44" s="9" t="s">
        <v>4</v>
      </c>
    </row>
    <row r="45" customFormat="false" ht="15" hidden="false" customHeight="false" outlineLevel="0" collapsed="false">
      <c r="A45" s="10" t="s">
        <v>265</v>
      </c>
      <c r="B45" s="10" t="n">
        <f aca="false">COUNTIF(Horse_Summary!$H$2:$H$41,A45)</f>
        <v>4</v>
      </c>
      <c r="C45" s="11" t="n">
        <f aca="false">AVERAGEIF(Horse_Summary!$H$2:$H$41,A45,Horse_Summary!$O$2:$O$41)</f>
        <v>110.991666666667</v>
      </c>
      <c r="D45" s="11" t="n">
        <f aca="false">_xlfn.MINIFS(Horse_Summary!$O$2:$O$41,Horse_Summary!$H$2:$H$41,A45)</f>
        <v>106.566666666667</v>
      </c>
      <c r="E45" s="11" t="n">
        <f aca="false">_xlfn.MAXIFS(Horse_Summary!$O$2:$O$41,Horse_Summary!$H$2:$H$41,A45)</f>
        <v>113.933333333333</v>
      </c>
      <c r="F45" s="10" t="n">
        <f aca="false">COUNTIFS(Horse_Summary!$H$2:$H$41,A45,Horse_Summary!$S$2:$S$41,"Elite")</f>
        <v>2</v>
      </c>
    </row>
    <row r="46" customFormat="false" ht="15" hidden="false" customHeight="false" outlineLevel="0" collapsed="false">
      <c r="A46" s="13" t="s">
        <v>127</v>
      </c>
      <c r="B46" s="13" t="n">
        <f aca="false">COUNTIF(Horse_Summary!$H$2:$H$41,A46)</f>
        <v>5</v>
      </c>
      <c r="C46" s="14" t="n">
        <f aca="false">AVERAGEIF(Horse_Summary!$H$2:$H$41,A46,Horse_Summary!$O$2:$O$41)</f>
        <v>110.666666666667</v>
      </c>
      <c r="D46" s="14" t="n">
        <f aca="false">_xlfn.MINIFS(Horse_Summary!$O$2:$O$41,Horse_Summary!$H$2:$H$41,A46)</f>
        <v>110.133333333333</v>
      </c>
      <c r="E46" s="14" t="n">
        <f aca="false">_xlfn.MAXIFS(Horse_Summary!$O$2:$O$41,Horse_Summary!$H$2:$H$41,A46)</f>
        <v>112.033333333333</v>
      </c>
      <c r="F46" s="13" t="n">
        <f aca="false">COUNTIFS(Horse_Summary!$H$2:$H$41,A46,Horse_Summary!$S$2:$S$41,"Elite")</f>
        <v>1</v>
      </c>
    </row>
    <row r="47" customFormat="false" ht="15" hidden="false" customHeight="false" outlineLevel="0" collapsed="false">
      <c r="A47" s="10" t="s">
        <v>151</v>
      </c>
      <c r="B47" s="10" t="n">
        <f aca="false">COUNTIF(Horse_Summary!$H$2:$H$41,A47)</f>
        <v>7</v>
      </c>
      <c r="C47" s="11" t="n">
        <f aca="false">AVERAGEIF(Horse_Summary!$H$2:$H$41,A47,Horse_Summary!$O$2:$O$41)</f>
        <v>110.057142857143</v>
      </c>
      <c r="D47" s="11" t="n">
        <f aca="false">_xlfn.MINIFS(Horse_Summary!$O$2:$O$41,Horse_Summary!$H$2:$H$41,A47)</f>
        <v>105.8</v>
      </c>
      <c r="E47" s="11" t="n">
        <f aca="false">_xlfn.MAXIFS(Horse_Summary!$O$2:$O$41,Horse_Summary!$H$2:$H$41,A47)</f>
        <v>112.933333333333</v>
      </c>
      <c r="F47" s="10" t="n">
        <f aca="false">COUNTIFS(Horse_Summary!$H$2:$H$41,A47,Horse_Summary!$S$2:$S$41,"Elite")</f>
        <v>2</v>
      </c>
    </row>
    <row r="48" customFormat="false" ht="15" hidden="false" customHeight="false" outlineLevel="0" collapsed="false">
      <c r="A48" s="13" t="s">
        <v>115</v>
      </c>
      <c r="B48" s="13" t="n">
        <f aca="false">COUNTIF(Horse_Summary!$H$2:$H$41,A48)</f>
        <v>10</v>
      </c>
      <c r="C48" s="14" t="n">
        <f aca="false">AVERAGEIF(Horse_Summary!$H$2:$H$41,A48,Horse_Summary!$O$2:$O$41)</f>
        <v>109.79</v>
      </c>
      <c r="D48" s="14" t="n">
        <f aca="false">_xlfn.MINIFS(Horse_Summary!$O$2:$O$41,Horse_Summary!$H$2:$H$41,A48)</f>
        <v>103.466666666667</v>
      </c>
      <c r="E48" s="14" t="n">
        <f aca="false">_xlfn.MAXIFS(Horse_Summary!$O$2:$O$41,Horse_Summary!$H$2:$H$41,A48)</f>
        <v>113.866666666667</v>
      </c>
      <c r="F48" s="13" t="n">
        <f aca="false">COUNTIFS(Horse_Summary!$H$2:$H$41,A48,Horse_Summary!$S$2:$S$41,"Elite")</f>
        <v>5</v>
      </c>
    </row>
    <row r="49" customFormat="false" ht="15" hidden="false" customHeight="false" outlineLevel="0" collapsed="false">
      <c r="A49" s="10" t="s">
        <v>167</v>
      </c>
      <c r="B49" s="10" t="n">
        <f aca="false">COUNTIF(Horse_Summary!$H$2:$H$41,A49)</f>
        <v>10</v>
      </c>
      <c r="C49" s="11" t="n">
        <f aca="false">AVERAGEIF(Horse_Summary!$H$2:$H$41,A49,Horse_Summary!$O$2:$O$41)</f>
        <v>109.643333333333</v>
      </c>
      <c r="D49" s="11" t="n">
        <f aca="false">_xlfn.MINIFS(Horse_Summary!$O$2:$O$41,Horse_Summary!$H$2:$H$41,A49)</f>
        <v>103.466666666667</v>
      </c>
      <c r="E49" s="11" t="n">
        <f aca="false">_xlfn.MAXIFS(Horse_Summary!$O$2:$O$41,Horse_Summary!$H$2:$H$41,A49)</f>
        <v>114.333333333333</v>
      </c>
      <c r="F49" s="10" t="n">
        <f aca="false">COUNTIFS(Horse_Summary!$H$2:$H$41,A49,Horse_Summary!$S$2:$S$41,"Elite")</f>
        <v>1</v>
      </c>
    </row>
    <row r="50" customFormat="false" ht="15" hidden="false" customHeight="false" outlineLevel="0" collapsed="false">
      <c r="A50" s="13" t="s">
        <v>139</v>
      </c>
      <c r="B50" s="13" t="n">
        <f aca="false">COUNTIF(Horse_Summary!$H$2:$H$41,A50)</f>
        <v>4</v>
      </c>
      <c r="C50" s="14" t="n">
        <f aca="false">AVERAGEIF(Horse_Summary!$H$2:$H$41,A50,Horse_Summary!$O$2:$O$41)</f>
        <v>107.916666666667</v>
      </c>
      <c r="D50" s="14" t="n">
        <f aca="false">_xlfn.MINIFS(Horse_Summary!$O$2:$O$41,Horse_Summary!$H$2:$H$41,A50)</f>
        <v>107.3</v>
      </c>
      <c r="E50" s="14" t="n">
        <f aca="false">_xlfn.MAXIFS(Horse_Summary!$O$2:$O$41,Horse_Summary!$H$2:$H$41,A50)</f>
        <v>108.5</v>
      </c>
      <c r="F50" s="13" t="n">
        <f aca="false">COUNTIFS(Horse_Summary!$H$2:$H$41,A50,Horse_Summary!$S$2:$S$41,"Elite")</f>
        <v>0</v>
      </c>
    </row>
    <row r="52" customFormat="false" ht="15" hidden="false" customHeight="false" outlineLevel="0" collapsed="false">
      <c r="A52" s="8" t="s">
        <v>498</v>
      </c>
    </row>
    <row r="53" customFormat="false" ht="15" hidden="false" customHeight="false" outlineLevel="0" collapsed="false">
      <c r="A53" s="9" t="s">
        <v>494</v>
      </c>
      <c r="B53" s="9" t="s">
        <v>2</v>
      </c>
      <c r="C53" s="9" t="s">
        <v>15</v>
      </c>
      <c r="D53" s="9" t="s">
        <v>483</v>
      </c>
      <c r="E53" s="9" t="s">
        <v>484</v>
      </c>
      <c r="F53" s="9" t="s">
        <v>4</v>
      </c>
    </row>
    <row r="54" customFormat="false" ht="15" hidden="false" customHeight="false" outlineLevel="0" collapsed="false">
      <c r="A54" s="10" t="s">
        <v>196</v>
      </c>
      <c r="B54" s="10" t="n">
        <f aca="false">COUNTIF(Horse_Profile!$N$2:$N$41,A54)</f>
        <v>4</v>
      </c>
      <c r="C54" s="11" t="n">
        <f aca="false">SUMPRODUCT((Horse_Profile!$N$2:$N$41=A54)*Horse_Summary!$O$2:$O$41)/B54</f>
        <v>110.766666666667</v>
      </c>
      <c r="D54" s="11" t="n">
        <f aca="false">_xlfn.MINIFS(Horse_Summary!$O$2:$O$41,Horse_Profile!$N$2:$N$41,A54)</f>
        <v>108.133333333333</v>
      </c>
      <c r="E54" s="11" t="n">
        <f aca="false">_xlfn.MAXIFS(Horse_Summary!$O$2:$O$41,Horse_Profile!$N$2:$N$41,A54)</f>
        <v>112.466666666667</v>
      </c>
      <c r="F54" s="10" t="n">
        <f aca="false">COUNTIFS(Horse_Profile!$N$2:$N$41,A54,Horse_Summary!$S$2:$S$41,"Elite")</f>
        <v>2</v>
      </c>
    </row>
    <row r="55" customFormat="false" ht="15" hidden="false" customHeight="false" outlineLevel="0" collapsed="false">
      <c r="A55" s="13" t="s">
        <v>140</v>
      </c>
      <c r="B55" s="13" t="n">
        <f aca="false">COUNTIF(Horse_Profile!$N$2:$N$41,A55)</f>
        <v>12</v>
      </c>
      <c r="C55" s="14" t="n">
        <f aca="false">SUMPRODUCT((Horse_Profile!$N$2:$N$41=A55)*Horse_Summary!$O$2:$O$41)/B55</f>
        <v>110.055555555556</v>
      </c>
      <c r="D55" s="14" t="n">
        <f aca="false">_xlfn.MINIFS(Horse_Summary!$O$2:$O$41,Horse_Profile!$N$2:$N$41,A55)</f>
        <v>104.633333333333</v>
      </c>
      <c r="E55" s="14" t="n">
        <f aca="false">_xlfn.MAXIFS(Horse_Summary!$O$2:$O$41,Horse_Profile!$N$2:$N$41,A55)</f>
        <v>113.866666666667</v>
      </c>
      <c r="F55" s="13" t="n">
        <f aca="false">COUNTIFS(Horse_Profile!$N$2:$N$41,A55,Horse_Summary!$S$2:$S$41,"Elite")</f>
        <v>3</v>
      </c>
    </row>
    <row r="56" customFormat="false" ht="15" hidden="false" customHeight="false" outlineLevel="0" collapsed="false">
      <c r="A56" s="10" t="s">
        <v>128</v>
      </c>
      <c r="B56" s="10" t="n">
        <f aca="false">COUNTIF(Horse_Profile!$N$2:$N$41,A56)</f>
        <v>7</v>
      </c>
      <c r="C56" s="11" t="n">
        <f aca="false">SUMPRODUCT((Horse_Profile!$N$2:$N$41=A56)*Horse_Summary!$O$2:$O$41)/B56</f>
        <v>110</v>
      </c>
      <c r="D56" s="11" t="n">
        <f aca="false">_xlfn.MINIFS(Horse_Summary!$O$2:$O$41,Horse_Profile!$N$2:$N$41,A56)</f>
        <v>104.533333333333</v>
      </c>
      <c r="E56" s="11" t="n">
        <f aca="false">_xlfn.MAXIFS(Horse_Summary!$O$2:$O$41,Horse_Profile!$N$2:$N$41,A56)</f>
        <v>114.333333333333</v>
      </c>
      <c r="F56" s="10" t="n">
        <f aca="false">COUNTIFS(Horse_Profile!$N$2:$N$41,A56,Horse_Summary!$S$2:$S$41,"Elite")</f>
        <v>2</v>
      </c>
    </row>
    <row r="57" customFormat="false" ht="15" hidden="false" customHeight="false" outlineLevel="0" collapsed="false">
      <c r="A57" s="13" t="s">
        <v>116</v>
      </c>
      <c r="B57" s="13" t="n">
        <f aca="false">COUNTIF(Horse_Profile!$N$2:$N$41,A57)</f>
        <v>11</v>
      </c>
      <c r="C57" s="14" t="n">
        <f aca="false">SUMPRODUCT((Horse_Profile!$N$2:$N$41=A57)*Horse_Summary!$O$2:$O$41)/B57</f>
        <v>109.424242424242</v>
      </c>
      <c r="D57" s="14" t="n">
        <f aca="false">_xlfn.MINIFS(Horse_Summary!$O$2:$O$41,Horse_Profile!$N$2:$N$41,A57)</f>
        <v>103.466666666667</v>
      </c>
      <c r="E57" s="14" t="n">
        <f aca="false">_xlfn.MAXIFS(Horse_Summary!$O$2:$O$41,Horse_Profile!$N$2:$N$41,A57)</f>
        <v>113.433333333333</v>
      </c>
      <c r="F57" s="13" t="n">
        <f aca="false">COUNTIFS(Horse_Profile!$N$2:$N$41,A57,Horse_Summary!$S$2:$S$41,"Elite")</f>
        <v>2</v>
      </c>
    </row>
    <row r="58" customFormat="false" ht="15" hidden="false" customHeight="false" outlineLevel="0" collapsed="false">
      <c r="A58" s="10" t="s">
        <v>160</v>
      </c>
      <c r="B58" s="10" t="n">
        <f aca="false">COUNTIF(Horse_Profile!$N$2:$N$41,A58)</f>
        <v>6</v>
      </c>
      <c r="C58" s="11" t="n">
        <f aca="false">SUMPRODUCT((Horse_Profile!$N$2:$N$41=A58)*Horse_Summary!$O$2:$O$41)/B58</f>
        <v>109.383333333333</v>
      </c>
      <c r="D58" s="11" t="n">
        <f aca="false">_xlfn.MINIFS(Horse_Summary!$O$2:$O$41,Horse_Profile!$N$2:$N$41,A58)</f>
        <v>103.466666666667</v>
      </c>
      <c r="E58" s="11" t="n">
        <f aca="false">_xlfn.MAXIFS(Horse_Summary!$O$2:$O$41,Horse_Profile!$N$2:$N$41,A58)</f>
        <v>113.933333333333</v>
      </c>
      <c r="F58" s="10" t="n">
        <f aca="false">COUNTIFS(Horse_Profile!$N$2:$N$41,A58,Horse_Summary!$S$2:$S$41,"Elite")</f>
        <v>2</v>
      </c>
    </row>
    <row r="59" customFormat="false" ht="15" hidden="false" customHeight="false" outlineLevel="0" collapsed="false">
      <c r="A59" s="35" t="s">
        <v>499</v>
      </c>
    </row>
  </sheetData>
  <conditionalFormatting sqref="D6:D10">
    <cfRule type="colorScale" priority="2">
      <colorScale>
        <cfvo type="num" val="105"/>
        <cfvo type="num" val="113"/>
        <color rgb="FFEAF2FD"/>
        <color rgb="FF2A78D6"/>
      </colorScale>
    </cfRule>
  </conditionalFormatting>
  <conditionalFormatting sqref="B24:G28">
    <cfRule type="colorScale" priority="3">
      <colorScale>
        <cfvo type="num" val="-1.2"/>
        <cfvo type="num" val="0"/>
        <cfvo type="num" val="1.2"/>
        <color rgb="FFE34948"/>
        <color rgb="FFF7F6F3"/>
        <color rgb="FF2A78D6"/>
      </colorScale>
    </cfRule>
  </conditionalFormatting>
  <conditionalFormatting sqref="C32:C41">
    <cfRule type="colorScale" priority="4">
      <colorScale>
        <cfvo type="num" val="104"/>
        <cfvo type="num" val="113"/>
        <color rgb="FFEAF2FD"/>
        <color rgb="FF2A78D6"/>
      </colorScale>
    </cfRule>
  </conditionalFormatting>
  <conditionalFormatting sqref="C45:C50">
    <cfRule type="colorScale" priority="5">
      <colorScale>
        <cfvo type="num" val="104"/>
        <cfvo type="num" val="113"/>
        <color rgb="FFEAF2FD"/>
        <color rgb="FF2A78D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B6834"/>
    <pageSetUpPr fitToPage="false"/>
  </sheetPr>
  <dimension ref="A1:G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4"/>
    <col collapsed="false" customWidth="true" hidden="false" outlineLevel="0" max="4" min="3" style="0" width="15"/>
    <col collapsed="false" customWidth="true" hidden="false" outlineLevel="0" max="5" min="5" style="0" width="14"/>
    <col collapsed="false" customWidth="true" hidden="false" outlineLevel="0" max="6" min="6" style="0" width="26"/>
    <col collapsed="false" customWidth="true" hidden="false" outlineLevel="0" max="7" min="7" style="0" width="10"/>
  </cols>
  <sheetData>
    <row r="1" customFormat="false" ht="25.5" hidden="false" customHeight="true" outlineLevel="0" collapsed="false">
      <c r="A1" s="22" t="s">
        <v>500</v>
      </c>
    </row>
    <row r="2" customFormat="false" ht="15" hidden="false" customHeight="false" outlineLevel="0" collapsed="false">
      <c r="A2" s="2" t="s">
        <v>501</v>
      </c>
    </row>
    <row r="4" customFormat="false" ht="15" hidden="false" customHeight="false" outlineLevel="0" collapsed="false">
      <c r="A4" s="8" t="s">
        <v>502</v>
      </c>
    </row>
    <row r="5" customFormat="false" ht="15" hidden="false" customHeight="false" outlineLevel="0" collapsed="false">
      <c r="A5" s="9" t="s">
        <v>503</v>
      </c>
      <c r="B5" s="9" t="s">
        <v>504</v>
      </c>
      <c r="C5" s="9" t="s">
        <v>505</v>
      </c>
      <c r="D5" s="9" t="s">
        <v>506</v>
      </c>
      <c r="E5" s="9" t="s">
        <v>507</v>
      </c>
      <c r="F5" s="9" t="s">
        <v>508</v>
      </c>
    </row>
    <row r="6" customFormat="false" ht="15" hidden="false" customHeight="false" outlineLevel="0" collapsed="false">
      <c r="A6" s="10" t="s">
        <v>509</v>
      </c>
      <c r="B6" s="10" t="n">
        <f aca="false">COUNT(Bloodline_Analysis!$J$6:$J$10)</f>
        <v>5</v>
      </c>
      <c r="C6" s="36" t="n">
        <f aca="false">CORREL(Bloodline_Analysis!$J$6:$J$10,Bloodline_Analysis!$D$6:$D$10)</f>
        <v>0.778505385390792</v>
      </c>
      <c r="D6" s="11" t="n">
        <f aca="false">RSQ(Bloodline_Analysis!$D$6:$D$10,Bloodline_Analysis!$J$6:$J$10)</f>
        <v>0.606070635082465</v>
      </c>
      <c r="E6" s="36" t="n">
        <f aca="false">SLOPE(Bloodline_Analysis!$D$6:$D$10,Bloodline_Analysis!$J$6:$J$10)</f>
        <v>2.76788623344073</v>
      </c>
      <c r="F6" s="10" t="str">
        <f aca="false">IF(ABS(C6)&gt;=0.7,"Strong",IF(ABS(C6)&gt;=0.4,"Moderate",IF(ABS(C6)&gt;=0.2,"Weak","Negligible")))&amp;IF(B6&lt;10," (few data points)","")</f>
        <v>Strong (few data points)</v>
      </c>
    </row>
    <row r="7" customFormat="false" ht="15" hidden="false" customHeight="false" outlineLevel="0" collapsed="false">
      <c r="A7" s="13" t="s">
        <v>510</v>
      </c>
      <c r="B7" s="13" t="n">
        <f aca="false">COUNT(Horse_Summary!$W$2:$W$41)</f>
        <v>40</v>
      </c>
      <c r="C7" s="37" t="n">
        <f aca="false">CORREL(Horse_Summary!$W$2:$W$41,Horse_Summary!$O$2:$O$41)</f>
        <v>0.062830522336884</v>
      </c>
      <c r="D7" s="14" t="n">
        <f aca="false">RSQ(Horse_Summary!$O$2:$O$41,Horse_Summary!$W$2:$W$41)</f>
        <v>0.00394767453712568</v>
      </c>
      <c r="E7" s="37" t="n">
        <f aca="false">SLOPE(Horse_Summary!$O$2:$O$41,Horse_Summary!$W$2:$W$41)</f>
        <v>0.0836320191158888</v>
      </c>
      <c r="F7" s="13" t="str">
        <f aca="false">IF(ABS(C7)&gt;=0.7,"Strong",IF(ABS(C7)&gt;=0.4,"Moderate",IF(ABS(C7)&gt;=0.2,"Weak","Negligible")))&amp;IF(B7&lt;10," (few data points)","")</f>
        <v>Negligible</v>
      </c>
    </row>
    <row r="8" customFormat="false" ht="15" hidden="false" customHeight="false" outlineLevel="0" collapsed="false">
      <c r="A8" s="10" t="s">
        <v>511</v>
      </c>
      <c r="B8" s="10" t="n">
        <f aca="false">COUNT(Horse_Summary!$X$2:$X$41)</f>
        <v>40</v>
      </c>
      <c r="C8" s="36" t="n">
        <f aca="false">CORREL(Horse_Summary!$X$2:$X$41,Horse_Summary!$O$2:$O$41)</f>
        <v>0.22974737753285</v>
      </c>
      <c r="D8" s="11" t="n">
        <f aca="false">RSQ(Horse_Summary!$O$2:$O$41,Horse_Summary!$X$2:$X$41)</f>
        <v>0.0527838574832218</v>
      </c>
      <c r="E8" s="36" t="n">
        <f aca="false">SLOPE(Horse_Summary!$O$2:$O$41,Horse_Summary!$X$2:$X$41)</f>
        <v>0.57663321889085</v>
      </c>
      <c r="F8" s="10" t="str">
        <f aca="false">IF(ABS(C8)&gt;=0.7,"Strong",IF(ABS(C8)&gt;=0.4,"Moderate",IF(ABS(C8)&gt;=0.2,"Weak","Negligible")))&amp;IF(B8&lt;10," (few data points)","")</f>
        <v>Weak</v>
      </c>
    </row>
    <row r="9" customFormat="false" ht="15" hidden="false" customHeight="false" outlineLevel="0" collapsed="false">
      <c r="A9" s="35" t="s">
        <v>512</v>
      </c>
    </row>
    <row r="11" customFormat="false" ht="15" hidden="false" customHeight="false" outlineLevel="0" collapsed="false">
      <c r="A11" s="8" t="s">
        <v>513</v>
      </c>
    </row>
    <row r="12" customFormat="false" ht="15" hidden="false" customHeight="false" outlineLevel="0" collapsed="false">
      <c r="A12" s="9" t="s">
        <v>12</v>
      </c>
      <c r="B12" s="9" t="s">
        <v>485</v>
      </c>
      <c r="C12" s="9" t="s">
        <v>514</v>
      </c>
      <c r="D12" s="9" t="s">
        <v>486</v>
      </c>
      <c r="E12" s="9" t="s">
        <v>515</v>
      </c>
      <c r="F12" s="9" t="s">
        <v>516</v>
      </c>
    </row>
    <row r="13" customFormat="false" ht="15" hidden="false" customHeight="false" outlineLevel="0" collapsed="false">
      <c r="A13" s="38" t="str">
        <f aca="false">Bloodline_Analysis!A6</f>
        <v>Pogrom</v>
      </c>
      <c r="B13" s="39" t="n">
        <f aca="false">Bloodline_Analysis!J6</f>
        <v>112.7</v>
      </c>
      <c r="C13" s="40" t="n">
        <f aca="false">Bloodline_Analysis!D6</f>
        <v>112.306666666667</v>
      </c>
      <c r="D13" s="36" t="n">
        <f aca="false">C13-B13</f>
        <v>-0.393333333333345</v>
      </c>
      <c r="E13" s="10" t="n">
        <f aca="false">RANK(C13,$C$13:$C$17,0)</f>
        <v>1</v>
      </c>
      <c r="F13" s="10" t="n">
        <f aca="false">RANK(B13,$B$13:$B$17,0)</f>
        <v>3</v>
      </c>
    </row>
    <row r="14" customFormat="false" ht="15" hidden="false" customHeight="false" outlineLevel="0" collapsed="false">
      <c r="A14" s="41" t="str">
        <f aca="false">Bloodline_Analysis!A7</f>
        <v>Cavali by Da Valentio</v>
      </c>
      <c r="B14" s="42" t="n">
        <f aca="false">Bloodline_Analysis!J7</f>
        <v>112.8</v>
      </c>
      <c r="C14" s="43" t="n">
        <f aca="false">Bloodline_Analysis!D7</f>
        <v>112.147619047619</v>
      </c>
      <c r="D14" s="37" t="n">
        <f aca="false">C14-B14</f>
        <v>-0.652380952380952</v>
      </c>
      <c r="E14" s="13" t="n">
        <f aca="false">RANK(C14,$C$13:$C$17,0)</f>
        <v>2</v>
      </c>
      <c r="F14" s="13" t="n">
        <f aca="false">RANK(B14,$B$13:$B$17,0)</f>
        <v>2</v>
      </c>
    </row>
    <row r="15" customFormat="false" ht="15" hidden="false" customHeight="false" outlineLevel="0" collapsed="false">
      <c r="A15" s="38" t="str">
        <f aca="false">Bloodline_Analysis!A8</f>
        <v>Abha Qatar</v>
      </c>
      <c r="B15" s="39" t="n">
        <f aca="false">Bloodline_Analysis!J8</f>
        <v>112.9</v>
      </c>
      <c r="C15" s="40" t="n">
        <f aca="false">Bloodline_Analysis!D8</f>
        <v>108.954166666667</v>
      </c>
      <c r="D15" s="36" t="n">
        <f aca="false">C15-B15</f>
        <v>-3.94583333333334</v>
      </c>
      <c r="E15" s="10" t="n">
        <f aca="false">RANK(C15,$C$13:$C$17,0)</f>
        <v>3</v>
      </c>
      <c r="F15" s="10" t="n">
        <f aca="false">RANK(B15,$B$13:$B$17,0)</f>
        <v>1</v>
      </c>
    </row>
    <row r="16" customFormat="false" ht="15" hidden="false" customHeight="false" outlineLevel="0" collapsed="false">
      <c r="A16" s="41" t="str">
        <f aca="false">Bloodline_Analysis!A9</f>
        <v>Van Gogh AM</v>
      </c>
      <c r="B16" s="42" t="n">
        <f aca="false">Bloodline_Analysis!J9</f>
        <v>111.7</v>
      </c>
      <c r="C16" s="43" t="n">
        <f aca="false">Bloodline_Analysis!D9</f>
        <v>108.904166666667</v>
      </c>
      <c r="D16" s="37" t="n">
        <f aca="false">C16-B16</f>
        <v>-2.79583333333333</v>
      </c>
      <c r="E16" s="13" t="n">
        <f aca="false">RANK(C16,$C$13:$C$17,0)</f>
        <v>4</v>
      </c>
      <c r="F16" s="13" t="n">
        <f aca="false">RANK(B16,$B$13:$B$17,0)</f>
        <v>4</v>
      </c>
    </row>
    <row r="17" customFormat="false" ht="15" hidden="false" customHeight="false" outlineLevel="0" collapsed="false">
      <c r="A17" s="38" t="str">
        <f aca="false">Bloodline_Analysis!A10</f>
        <v>Titan AS</v>
      </c>
      <c r="B17" s="39" t="n">
        <f aca="false">Bloodline_Analysis!J10</f>
        <v>111.3</v>
      </c>
      <c r="C17" s="40" t="n">
        <f aca="false">Bloodline_Analysis!D10</f>
        <v>106.104761904762</v>
      </c>
      <c r="D17" s="36" t="n">
        <f aca="false">C17-B17</f>
        <v>-5.1952380952381</v>
      </c>
      <c r="E17" s="10" t="n">
        <f aca="false">RANK(C17,$C$13:$C$17,0)</f>
        <v>5</v>
      </c>
      <c r="F17" s="10" t="n">
        <f aca="false">RANK(B17,$B$13:$B$17,0)</f>
        <v>5</v>
      </c>
    </row>
    <row r="20" customFormat="false" ht="15" hidden="false" customHeight="false" outlineLevel="0" collapsed="false">
      <c r="A20" s="8" t="s">
        <v>517</v>
      </c>
    </row>
    <row r="21" customFormat="false" ht="15" hidden="false" customHeight="false" outlineLevel="0" collapsed="false">
      <c r="A21" s="9" t="s">
        <v>90</v>
      </c>
      <c r="B21" s="9" t="s">
        <v>518</v>
      </c>
      <c r="C21" s="9" t="s">
        <v>519</v>
      </c>
      <c r="D21" s="9" t="s">
        <v>520</v>
      </c>
      <c r="E21" s="9" t="s">
        <v>521</v>
      </c>
      <c r="F21" s="9" t="s">
        <v>522</v>
      </c>
      <c r="G21" s="9" t="s">
        <v>523</v>
      </c>
    </row>
    <row r="22" customFormat="false" ht="15" hidden="false" customHeight="false" outlineLevel="0" collapsed="false">
      <c r="A22" s="38" t="str">
        <f aca="false">Horse_Summary!A2</f>
        <v>HA-001</v>
      </c>
      <c r="B22" s="38" t="str">
        <f aca="false">Horse_Summary!B2</f>
        <v>HA Amira Legacy</v>
      </c>
      <c r="C22" s="39" t="n">
        <f aca="false">Horse_Summary!V2</f>
        <v>112.7</v>
      </c>
      <c r="D22" s="39" t="n">
        <f aca="false">Horse_Summary!W2</f>
        <v>106.5</v>
      </c>
      <c r="E22" s="40" t="n">
        <f aca="false">Horse_Summary!X2</f>
        <v>109.6</v>
      </c>
      <c r="F22" s="40" t="n">
        <f aca="false">Horse_Summary!O2</f>
        <v>113.433333333333</v>
      </c>
      <c r="G22" s="44" t="n">
        <f aca="false">Horse_Summary!AA2</f>
        <v>0.733333333333334</v>
      </c>
    </row>
    <row r="23" customFormat="false" ht="15" hidden="false" customHeight="false" outlineLevel="0" collapsed="false">
      <c r="A23" s="41" t="str">
        <f aca="false">Horse_Summary!A3</f>
        <v>HA-002</v>
      </c>
      <c r="B23" s="41" t="str">
        <f aca="false">Horse_Summary!B3</f>
        <v>HA Basir Royal Flame</v>
      </c>
      <c r="C23" s="42" t="n">
        <f aca="false">Horse_Summary!V3</f>
        <v>112.7</v>
      </c>
      <c r="D23" s="42" t="n">
        <f aca="false">Horse_Summary!W3</f>
        <v>107.2</v>
      </c>
      <c r="E23" s="43" t="n">
        <f aca="false">Horse_Summary!X3</f>
        <v>109.95</v>
      </c>
      <c r="F23" s="43" t="n">
        <f aca="false">Horse_Summary!O3</f>
        <v>110.366666666667</v>
      </c>
      <c r="G23" s="45" t="n">
        <f aca="false">Horse_Summary!AA3</f>
        <v>-2.33333333333333</v>
      </c>
    </row>
    <row r="24" customFormat="false" ht="15" hidden="false" customHeight="false" outlineLevel="0" collapsed="false">
      <c r="A24" s="38" t="str">
        <f aca="false">Horse_Summary!A4</f>
        <v>HA-003</v>
      </c>
      <c r="B24" s="38" t="str">
        <f aca="false">Horse_Summary!B4</f>
        <v>HA Nadir Sundance</v>
      </c>
      <c r="C24" s="39" t="n">
        <f aca="false">Horse_Summary!V4</f>
        <v>112.9</v>
      </c>
      <c r="D24" s="39" t="n">
        <f aca="false">Horse_Summary!W4</f>
        <v>106.8</v>
      </c>
      <c r="E24" s="40" t="n">
        <f aca="false">Horse_Summary!X4</f>
        <v>109.85</v>
      </c>
      <c r="F24" s="40" t="n">
        <f aca="false">Horse_Summary!O4</f>
        <v>107.733333333333</v>
      </c>
      <c r="G24" s="44" t="n">
        <f aca="false">Horse_Summary!AA4</f>
        <v>-5.16666666666667</v>
      </c>
    </row>
    <row r="25" customFormat="false" ht="15" hidden="false" customHeight="false" outlineLevel="0" collapsed="false">
      <c r="A25" s="41" t="str">
        <f aca="false">Horse_Summary!A5</f>
        <v>HA-004</v>
      </c>
      <c r="B25" s="41" t="str">
        <f aca="false">Horse_Summary!B5</f>
        <v>HA Layla Dream</v>
      </c>
      <c r="C25" s="42" t="n">
        <f aca="false">Horse_Summary!V5</f>
        <v>112.8</v>
      </c>
      <c r="D25" s="42" t="n">
        <f aca="false">Horse_Summary!W5</f>
        <v>111.5</v>
      </c>
      <c r="E25" s="43" t="n">
        <f aca="false">Horse_Summary!X5</f>
        <v>112.15</v>
      </c>
      <c r="F25" s="43" t="n">
        <f aca="false">Horse_Summary!O5</f>
        <v>112.133333333333</v>
      </c>
      <c r="G25" s="45" t="n">
        <f aca="false">Horse_Summary!AA5</f>
        <v>-0.666666666666671</v>
      </c>
    </row>
    <row r="26" customFormat="false" ht="15" hidden="false" customHeight="false" outlineLevel="0" collapsed="false">
      <c r="A26" s="38" t="str">
        <f aca="false">Horse_Summary!A6</f>
        <v>HA-005</v>
      </c>
      <c r="B26" s="38" t="str">
        <f aca="false">Horse_Summary!B6</f>
        <v>HA Zafir Golden Star</v>
      </c>
      <c r="C26" s="39" t="n">
        <f aca="false">Horse_Summary!V6</f>
        <v>111.7</v>
      </c>
      <c r="D26" s="39" t="n">
        <f aca="false">Horse_Summary!W6</f>
        <v>106.5</v>
      </c>
      <c r="E26" s="40" t="n">
        <f aca="false">Horse_Summary!X6</f>
        <v>109.1</v>
      </c>
      <c r="F26" s="40" t="n">
        <f aca="false">Horse_Summary!O6</f>
        <v>108.5</v>
      </c>
      <c r="G26" s="44" t="n">
        <f aca="false">Horse_Summary!AA6</f>
        <v>-3.2</v>
      </c>
    </row>
    <row r="27" customFormat="false" ht="15" hidden="false" customHeight="false" outlineLevel="0" collapsed="false">
      <c r="A27" s="41" t="str">
        <f aca="false">Horse_Summary!A7</f>
        <v>HA-006</v>
      </c>
      <c r="B27" s="41" t="str">
        <f aca="false">Horse_Summary!B7</f>
        <v>HA Malika Amethyst</v>
      </c>
      <c r="C27" s="42" t="n">
        <f aca="false">Horse_Summary!V7</f>
        <v>111.7</v>
      </c>
      <c r="D27" s="42" t="n">
        <f aca="false">Horse_Summary!W7</f>
        <v>107.6</v>
      </c>
      <c r="E27" s="43" t="n">
        <f aca="false">Horse_Summary!X7</f>
        <v>109.65</v>
      </c>
      <c r="F27" s="43" t="n">
        <f aca="false">Horse_Summary!O7</f>
        <v>111.433333333333</v>
      </c>
      <c r="G27" s="45" t="n">
        <f aca="false">Horse_Summary!AA7</f>
        <v>-0.266666666666666</v>
      </c>
    </row>
    <row r="28" customFormat="false" ht="15" hidden="false" customHeight="false" outlineLevel="0" collapsed="false">
      <c r="A28" s="38" t="str">
        <f aca="false">Horse_Summary!A8</f>
        <v>HA-007</v>
      </c>
      <c r="B28" s="38" t="str">
        <f aca="false">Horse_Summary!B8</f>
        <v>HA Sultan Golden Star</v>
      </c>
      <c r="C28" s="39" t="n">
        <f aca="false">Horse_Summary!V8</f>
        <v>111.3</v>
      </c>
      <c r="D28" s="39" t="n">
        <f aca="false">Horse_Summary!W8</f>
        <v>104.6</v>
      </c>
      <c r="E28" s="40" t="n">
        <f aca="false">Horse_Summary!X8</f>
        <v>107.95</v>
      </c>
      <c r="F28" s="40" t="n">
        <f aca="false">Horse_Summary!O8</f>
        <v>103.466666666667</v>
      </c>
      <c r="G28" s="44" t="n">
        <f aca="false">Horse_Summary!AA8</f>
        <v>-7.83333333333334</v>
      </c>
    </row>
    <row r="29" customFormat="false" ht="15" hidden="false" customHeight="false" outlineLevel="0" collapsed="false">
      <c r="A29" s="41" t="str">
        <f aca="false">Horse_Summary!A9</f>
        <v>HA-008</v>
      </c>
      <c r="B29" s="41" t="str">
        <f aca="false">Horse_Summary!B9</f>
        <v>HA Noor Mirage</v>
      </c>
      <c r="C29" s="42" t="n">
        <f aca="false">Horse_Summary!V9</f>
        <v>112.9</v>
      </c>
      <c r="D29" s="42" t="n">
        <f aca="false">Horse_Summary!W9</f>
        <v>106.5</v>
      </c>
      <c r="E29" s="43" t="n">
        <f aca="false">Horse_Summary!X9</f>
        <v>109.7</v>
      </c>
      <c r="F29" s="43" t="n">
        <f aca="false">Horse_Summary!O9</f>
        <v>105.8</v>
      </c>
      <c r="G29" s="45" t="n">
        <f aca="false">Horse_Summary!AA9</f>
        <v>-7.10000000000001</v>
      </c>
    </row>
    <row r="30" customFormat="false" ht="15" hidden="false" customHeight="false" outlineLevel="0" collapsed="false">
      <c r="A30" s="38" t="str">
        <f aca="false">Horse_Summary!A10</f>
        <v>HA-009</v>
      </c>
      <c r="B30" s="38" t="str">
        <f aca="false">Horse_Summary!B10</f>
        <v>HA Rayan Dream</v>
      </c>
      <c r="C30" s="39" t="n">
        <f aca="false">Horse_Summary!V10</f>
        <v>112.7</v>
      </c>
      <c r="D30" s="39" t="n">
        <f aca="false">Horse_Summary!W10</f>
        <v>106.3</v>
      </c>
      <c r="E30" s="40" t="n">
        <f aca="false">Horse_Summary!X10</f>
        <v>109.5</v>
      </c>
      <c r="F30" s="40" t="n">
        <f aca="false">Horse_Summary!O10</f>
        <v>113.866666666667</v>
      </c>
      <c r="G30" s="44" t="n">
        <f aca="false">Horse_Summary!AA10</f>
        <v>1.16666666666667</v>
      </c>
    </row>
    <row r="31" customFormat="false" ht="15" hidden="false" customHeight="false" outlineLevel="0" collapsed="false">
      <c r="A31" s="41" t="str">
        <f aca="false">Horse_Summary!A11</f>
        <v>HA-010</v>
      </c>
      <c r="B31" s="41" t="str">
        <f aca="false">Horse_Summary!B11</f>
        <v>HA Sahara Desert Rose</v>
      </c>
      <c r="C31" s="42" t="n">
        <f aca="false">Horse_Summary!V11</f>
        <v>111.3</v>
      </c>
      <c r="D31" s="42" t="n">
        <f aca="false">Horse_Summary!W11</f>
        <v>109.7</v>
      </c>
      <c r="E31" s="43" t="n">
        <f aca="false">Horse_Summary!X11</f>
        <v>110.5</v>
      </c>
      <c r="F31" s="43" t="n">
        <f aca="false">Horse_Summary!O11</f>
        <v>104.633333333333</v>
      </c>
      <c r="G31" s="45" t="n">
        <f aca="false">Horse_Summary!AA11</f>
        <v>-6.66666666666667</v>
      </c>
    </row>
    <row r="32" customFormat="false" ht="15" hidden="false" customHeight="false" outlineLevel="0" collapsed="false">
      <c r="A32" s="38" t="str">
        <f aca="false">Horse_Summary!A12</f>
        <v>HA-011</v>
      </c>
      <c r="B32" s="38" t="str">
        <f aca="false">Horse_Summary!B12</f>
        <v>HA Amani Moonlight</v>
      </c>
      <c r="C32" s="39" t="n">
        <f aca="false">Horse_Summary!V12</f>
        <v>111.7</v>
      </c>
      <c r="D32" s="39" t="n">
        <f aca="false">Horse_Summary!W12</f>
        <v>112</v>
      </c>
      <c r="E32" s="40" t="n">
        <f aca="false">Horse_Summary!X12</f>
        <v>111.85</v>
      </c>
      <c r="F32" s="40" t="n">
        <f aca="false">Horse_Summary!O12</f>
        <v>108.133333333333</v>
      </c>
      <c r="G32" s="44" t="n">
        <f aca="false">Horse_Summary!AA12</f>
        <v>-3.56666666666668</v>
      </c>
    </row>
    <row r="33" customFormat="false" ht="15" hidden="false" customHeight="false" outlineLevel="0" collapsed="false">
      <c r="A33" s="41" t="str">
        <f aca="false">Horse_Summary!A13</f>
        <v>HA-012</v>
      </c>
      <c r="B33" s="41" t="str">
        <f aca="false">Horse_Summary!B13</f>
        <v>HA Kareem Amethyst</v>
      </c>
      <c r="C33" s="42" t="n">
        <f aca="false">Horse_Summary!V13</f>
        <v>111.3</v>
      </c>
      <c r="D33" s="42" t="n">
        <f aca="false">Horse_Summary!W13</f>
        <v>112</v>
      </c>
      <c r="E33" s="43" t="n">
        <f aca="false">Horse_Summary!X13</f>
        <v>111.65</v>
      </c>
      <c r="F33" s="43" t="n">
        <f aca="false">Horse_Summary!O13</f>
        <v>103.466666666667</v>
      </c>
      <c r="G33" s="45" t="n">
        <f aca="false">Horse_Summary!AA13</f>
        <v>-7.83333333333334</v>
      </c>
    </row>
    <row r="34" customFormat="false" ht="15" hidden="false" customHeight="false" outlineLevel="0" collapsed="false">
      <c r="A34" s="38" t="str">
        <f aca="false">Horse_Summary!A14</f>
        <v>HA-013</v>
      </c>
      <c r="B34" s="38" t="str">
        <f aca="false">Horse_Summary!B14</f>
        <v>HA Jasmine Sundance</v>
      </c>
      <c r="C34" s="39" t="n">
        <f aca="false">Horse_Summary!V14</f>
        <v>111.7</v>
      </c>
      <c r="D34" s="39" t="n">
        <f aca="false">Horse_Summary!W14</f>
        <v>109.7</v>
      </c>
      <c r="E34" s="40" t="n">
        <f aca="false">Horse_Summary!X14</f>
        <v>110.7</v>
      </c>
      <c r="F34" s="40" t="n">
        <f aca="false">Horse_Summary!O14</f>
        <v>106.833333333333</v>
      </c>
      <c r="G34" s="44" t="n">
        <f aca="false">Horse_Summary!AA14</f>
        <v>-4.86666666666667</v>
      </c>
    </row>
    <row r="35" customFormat="false" ht="15" hidden="false" customHeight="false" outlineLevel="0" collapsed="false">
      <c r="A35" s="41" t="str">
        <f aca="false">Horse_Summary!A15</f>
        <v>HA-014</v>
      </c>
      <c r="B35" s="41" t="str">
        <f aca="false">Horse_Summary!B15</f>
        <v>HA Samir Moonlight</v>
      </c>
      <c r="C35" s="42" t="n">
        <f aca="false">Horse_Summary!V15</f>
        <v>111.7</v>
      </c>
      <c r="D35" s="42" t="n">
        <f aca="false">Horse_Summary!W15</f>
        <v>106.3</v>
      </c>
      <c r="E35" s="43" t="n">
        <f aca="false">Horse_Summary!X15</f>
        <v>109</v>
      </c>
      <c r="F35" s="43" t="n">
        <f aca="false">Horse_Summary!O15</f>
        <v>107.833333333333</v>
      </c>
      <c r="G35" s="45" t="n">
        <f aca="false">Horse_Summary!AA15</f>
        <v>-3.86666666666667</v>
      </c>
    </row>
    <row r="36" customFormat="false" ht="15" hidden="false" customHeight="false" outlineLevel="0" collapsed="false">
      <c r="A36" s="38" t="str">
        <f aca="false">Horse_Summary!A16</f>
        <v>HA-015</v>
      </c>
      <c r="B36" s="38" t="str">
        <f aca="false">Horse_Summary!B16</f>
        <v>HA Zara Marquis</v>
      </c>
      <c r="C36" s="39" t="n">
        <f aca="false">Horse_Summary!V16</f>
        <v>112.9</v>
      </c>
      <c r="D36" s="39" t="n">
        <f aca="false">Horse_Summary!W16</f>
        <v>112</v>
      </c>
      <c r="E36" s="40" t="n">
        <f aca="false">Horse_Summary!X16</f>
        <v>112.45</v>
      </c>
      <c r="F36" s="40" t="n">
        <f aca="false">Horse_Summary!O16</f>
        <v>109.1</v>
      </c>
      <c r="G36" s="44" t="n">
        <f aca="false">Horse_Summary!AA16</f>
        <v>-3.8</v>
      </c>
    </row>
    <row r="37" customFormat="false" ht="15" hidden="false" customHeight="false" outlineLevel="0" collapsed="false">
      <c r="A37" s="41" t="str">
        <f aca="false">Horse_Summary!A17</f>
        <v>HA-016</v>
      </c>
      <c r="B37" s="41" t="str">
        <f aca="false">Horse_Summary!B17</f>
        <v>HA Farid Royal Flame</v>
      </c>
      <c r="C37" s="42" t="n">
        <f aca="false">Horse_Summary!V17</f>
        <v>112.8</v>
      </c>
      <c r="D37" s="42" t="n">
        <f aca="false">Horse_Summary!W17</f>
        <v>107.6</v>
      </c>
      <c r="E37" s="43" t="n">
        <f aca="false">Horse_Summary!X17</f>
        <v>110.2</v>
      </c>
      <c r="F37" s="43" t="n">
        <f aca="false">Horse_Summary!O17</f>
        <v>112.033333333333</v>
      </c>
      <c r="G37" s="45" t="n">
        <f aca="false">Horse_Summary!AA17</f>
        <v>-0.766666666666652</v>
      </c>
    </row>
    <row r="38" customFormat="false" ht="15" hidden="false" customHeight="false" outlineLevel="0" collapsed="false">
      <c r="A38" s="38" t="str">
        <f aca="false">Horse_Summary!A18</f>
        <v>HA-017</v>
      </c>
      <c r="B38" s="38" t="str">
        <f aca="false">Horse_Summary!B18</f>
        <v>HA Noura Al Jannat</v>
      </c>
      <c r="C38" s="39" t="n">
        <f aca="false">Horse_Summary!V18</f>
        <v>112.8</v>
      </c>
      <c r="D38" s="39" t="n">
        <f aca="false">Horse_Summary!W18</f>
        <v>106.5</v>
      </c>
      <c r="E38" s="40" t="n">
        <f aca="false">Horse_Summary!X18</f>
        <v>109.65</v>
      </c>
      <c r="F38" s="40" t="n">
        <f aca="false">Horse_Summary!O18</f>
        <v>112.466666666667</v>
      </c>
      <c r="G38" s="44" t="n">
        <f aca="false">Horse_Summary!AA18</f>
        <v>-0.333333333333314</v>
      </c>
    </row>
    <row r="39" customFormat="false" ht="15" hidden="false" customHeight="false" outlineLevel="0" collapsed="false">
      <c r="A39" s="41" t="str">
        <f aca="false">Horse_Summary!A19</f>
        <v>HA-018</v>
      </c>
      <c r="B39" s="41" t="str">
        <f aca="false">Horse_Summary!B19</f>
        <v>HA Khalil Valentino</v>
      </c>
      <c r="C39" s="42" t="n">
        <f aca="false">Horse_Summary!V19</f>
        <v>111.3</v>
      </c>
      <c r="D39" s="42" t="n">
        <f aca="false">Horse_Summary!W19</f>
        <v>106.3</v>
      </c>
      <c r="E39" s="43" t="n">
        <f aca="false">Horse_Summary!X19</f>
        <v>108.8</v>
      </c>
      <c r="F39" s="43" t="n">
        <f aca="false">Horse_Summary!O19</f>
        <v>104.533333333333</v>
      </c>
      <c r="G39" s="45" t="n">
        <f aca="false">Horse_Summary!AA19</f>
        <v>-6.76666666666665</v>
      </c>
    </row>
    <row r="40" customFormat="false" ht="15" hidden="false" customHeight="false" outlineLevel="0" collapsed="false">
      <c r="A40" s="38" t="str">
        <f aca="false">Horse_Summary!A20</f>
        <v>HA-019</v>
      </c>
      <c r="B40" s="38" t="str">
        <f aca="false">Horse_Summary!B20</f>
        <v>HA Saffron Golden Star</v>
      </c>
      <c r="C40" s="39" t="n">
        <f aca="false">Horse_Summary!V20</f>
        <v>112.9</v>
      </c>
      <c r="D40" s="39" t="n">
        <f aca="false">Horse_Summary!W20</f>
        <v>106.5</v>
      </c>
      <c r="E40" s="40" t="n">
        <f aca="false">Horse_Summary!X20</f>
        <v>109.7</v>
      </c>
      <c r="F40" s="40" t="n">
        <f aca="false">Horse_Summary!O20</f>
        <v>111.1</v>
      </c>
      <c r="G40" s="44" t="n">
        <f aca="false">Horse_Summary!AA20</f>
        <v>-1.79999999999998</v>
      </c>
    </row>
    <row r="41" customFormat="false" ht="15" hidden="false" customHeight="false" outlineLevel="0" collapsed="false">
      <c r="A41" s="41" t="str">
        <f aca="false">Horse_Summary!A21</f>
        <v>HA-020</v>
      </c>
      <c r="B41" s="41" t="str">
        <f aca="false">Horse_Summary!B21</f>
        <v>HA Aziza Royal Flame</v>
      </c>
      <c r="C41" s="42" t="n">
        <f aca="false">Horse_Summary!V21</f>
        <v>111.7</v>
      </c>
      <c r="D41" s="42" t="n">
        <f aca="false">Horse_Summary!W21</f>
        <v>111.5</v>
      </c>
      <c r="E41" s="43" t="n">
        <f aca="false">Horse_Summary!X21</f>
        <v>111.6</v>
      </c>
      <c r="F41" s="43" t="n">
        <f aca="false">Horse_Summary!O21</f>
        <v>109.966666666667</v>
      </c>
      <c r="G41" s="45" t="n">
        <f aca="false">Horse_Summary!AA21</f>
        <v>-1.73333333333335</v>
      </c>
    </row>
    <row r="42" customFormat="false" ht="15" hidden="false" customHeight="false" outlineLevel="0" collapsed="false">
      <c r="A42" s="38" t="str">
        <f aca="false">Horse_Summary!A22</f>
        <v>HA-021</v>
      </c>
      <c r="B42" s="38" t="str">
        <f aca="false">Horse_Summary!B22</f>
        <v>HA Majid Al Jannat</v>
      </c>
      <c r="C42" s="39" t="n">
        <f aca="false">Horse_Summary!V22</f>
        <v>111.7</v>
      </c>
      <c r="D42" s="39" t="n">
        <f aca="false">Horse_Summary!W22</f>
        <v>106.5</v>
      </c>
      <c r="E42" s="40" t="n">
        <f aca="false">Horse_Summary!X22</f>
        <v>109.1</v>
      </c>
      <c r="F42" s="40" t="n">
        <f aca="false">Horse_Summary!O22</f>
        <v>110.633333333333</v>
      </c>
      <c r="G42" s="44" t="n">
        <f aca="false">Horse_Summary!AA22</f>
        <v>-1.06666666666668</v>
      </c>
    </row>
    <row r="43" customFormat="false" ht="15" hidden="false" customHeight="false" outlineLevel="0" collapsed="false">
      <c r="A43" s="41" t="str">
        <f aca="false">Horse_Summary!A23</f>
        <v>HA-022</v>
      </c>
      <c r="B43" s="41" t="str">
        <f aca="false">Horse_Summary!B23</f>
        <v>HA Dalia Desert Rose</v>
      </c>
      <c r="C43" s="42" t="n">
        <f aca="false">Horse_Summary!V23</f>
        <v>111.3</v>
      </c>
      <c r="D43" s="42" t="n">
        <f aca="false">Horse_Summary!W23</f>
        <v>106.3</v>
      </c>
      <c r="E43" s="43" t="n">
        <f aca="false">Horse_Summary!X23</f>
        <v>108.8</v>
      </c>
      <c r="F43" s="43" t="n">
        <f aca="false">Horse_Summary!O23</f>
        <v>109.166666666667</v>
      </c>
      <c r="G43" s="45" t="n">
        <f aca="false">Horse_Summary!AA23</f>
        <v>-2.13333333333333</v>
      </c>
    </row>
    <row r="44" customFormat="false" ht="15" hidden="false" customHeight="false" outlineLevel="0" collapsed="false">
      <c r="A44" s="38" t="str">
        <f aca="false">Horse_Summary!A24</f>
        <v>HA-023</v>
      </c>
      <c r="B44" s="38" t="str">
        <f aca="false">Horse_Summary!B24</f>
        <v>HA Rashid Golden Star</v>
      </c>
      <c r="C44" s="39" t="n">
        <f aca="false">Horse_Summary!V24</f>
        <v>112.8</v>
      </c>
      <c r="D44" s="39" t="n">
        <f aca="false">Horse_Summary!W24</f>
        <v>112</v>
      </c>
      <c r="E44" s="40" t="n">
        <f aca="false">Horse_Summary!X24</f>
        <v>112.4</v>
      </c>
      <c r="F44" s="40" t="n">
        <f aca="false">Horse_Summary!O24</f>
        <v>112.8</v>
      </c>
      <c r="G44" s="44" t="n">
        <f aca="false">Horse_Summary!AA24</f>
        <v>0</v>
      </c>
    </row>
    <row r="45" customFormat="false" ht="15" hidden="false" customHeight="false" outlineLevel="0" collapsed="false">
      <c r="A45" s="41" t="str">
        <f aca="false">Horse_Summary!A25</f>
        <v>HA-024</v>
      </c>
      <c r="B45" s="41" t="str">
        <f aca="false">Horse_Summary!B25</f>
        <v>HA Soraya Amethyst</v>
      </c>
      <c r="C45" s="42" t="n">
        <f aca="false">Horse_Summary!V25</f>
        <v>111.3</v>
      </c>
      <c r="D45" s="42" t="n">
        <f aca="false">Horse_Summary!W25</f>
        <v>106.5</v>
      </c>
      <c r="E45" s="43" t="n">
        <f aca="false">Horse_Summary!X25</f>
        <v>108.9</v>
      </c>
      <c r="F45" s="43" t="n">
        <f aca="false">Horse_Summary!O25</f>
        <v>110.166666666667</v>
      </c>
      <c r="G45" s="45" t="n">
        <f aca="false">Horse_Summary!AA25</f>
        <v>-1.13333333333333</v>
      </c>
    </row>
    <row r="46" customFormat="false" ht="15" hidden="false" customHeight="false" outlineLevel="0" collapsed="false">
      <c r="A46" s="38" t="str">
        <f aca="false">Horse_Summary!A26</f>
        <v>HA-025</v>
      </c>
      <c r="B46" s="38" t="str">
        <f aca="false">Horse_Summary!B26</f>
        <v>HA Tariq Legacy</v>
      </c>
      <c r="C46" s="39" t="n">
        <f aca="false">Horse_Summary!V26</f>
        <v>111.7</v>
      </c>
      <c r="D46" s="39" t="n">
        <f aca="false">Horse_Summary!W26</f>
        <v>106.5</v>
      </c>
      <c r="E46" s="40" t="n">
        <f aca="false">Horse_Summary!X26</f>
        <v>109.1</v>
      </c>
      <c r="F46" s="40" t="n">
        <f aca="false">Horse_Summary!O26</f>
        <v>107.9</v>
      </c>
      <c r="G46" s="44" t="n">
        <f aca="false">Horse_Summary!AA26</f>
        <v>-3.79999999999998</v>
      </c>
    </row>
    <row r="47" customFormat="false" ht="15" hidden="false" customHeight="false" outlineLevel="0" collapsed="false">
      <c r="A47" s="41" t="str">
        <f aca="false">Horse_Summary!A27</f>
        <v>HA-026</v>
      </c>
      <c r="B47" s="41" t="str">
        <f aca="false">Horse_Summary!B27</f>
        <v>HA Luna Amethyst</v>
      </c>
      <c r="C47" s="42" t="n">
        <f aca="false">Horse_Summary!V27</f>
        <v>112.9</v>
      </c>
      <c r="D47" s="42" t="n">
        <f aca="false">Horse_Summary!W27</f>
        <v>109.7</v>
      </c>
      <c r="E47" s="43" t="n">
        <f aca="false">Horse_Summary!X27</f>
        <v>111.3</v>
      </c>
      <c r="F47" s="43" t="n">
        <f aca="false">Horse_Summary!O27</f>
        <v>110.4</v>
      </c>
      <c r="G47" s="45" t="n">
        <f aca="false">Horse_Summary!AA27</f>
        <v>-2.50000000000001</v>
      </c>
    </row>
    <row r="48" customFormat="false" ht="15" hidden="false" customHeight="false" outlineLevel="0" collapsed="false">
      <c r="A48" s="38" t="str">
        <f aca="false">Horse_Summary!A28</f>
        <v>HA-027</v>
      </c>
      <c r="B48" s="38" t="str">
        <f aca="false">Horse_Summary!B28</f>
        <v>HA Hakim Amethyst</v>
      </c>
      <c r="C48" s="39" t="n">
        <f aca="false">Horse_Summary!V28</f>
        <v>112.8</v>
      </c>
      <c r="D48" s="39" t="n">
        <f aca="false">Horse_Summary!W28</f>
        <v>111.5</v>
      </c>
      <c r="E48" s="40" t="n">
        <f aca="false">Horse_Summary!X28</f>
        <v>112.15</v>
      </c>
      <c r="F48" s="40" t="n">
        <f aca="false">Horse_Summary!O28</f>
        <v>110.733333333333</v>
      </c>
      <c r="G48" s="44" t="n">
        <f aca="false">Horse_Summary!AA28</f>
        <v>-2.06666666666666</v>
      </c>
    </row>
    <row r="49" customFormat="false" ht="15" hidden="false" customHeight="false" outlineLevel="0" collapsed="false">
      <c r="A49" s="41" t="str">
        <f aca="false">Horse_Summary!A29</f>
        <v>HA-028</v>
      </c>
      <c r="B49" s="41" t="str">
        <f aca="false">Horse_Summary!B29</f>
        <v>HA Nashira Royal Flame</v>
      </c>
      <c r="C49" s="42" t="n">
        <f aca="false">Horse_Summary!V29</f>
        <v>112.8</v>
      </c>
      <c r="D49" s="42" t="n">
        <f aca="false">Horse_Summary!W29</f>
        <v>107.6</v>
      </c>
      <c r="E49" s="43" t="n">
        <f aca="false">Horse_Summary!X29</f>
        <v>110.2</v>
      </c>
      <c r="F49" s="43" t="n">
        <f aca="false">Horse_Summary!O29</f>
        <v>112.133333333333</v>
      </c>
      <c r="G49" s="45" t="n">
        <f aca="false">Horse_Summary!AA29</f>
        <v>-0.666666666666671</v>
      </c>
    </row>
    <row r="50" customFormat="false" ht="15" hidden="false" customHeight="false" outlineLevel="0" collapsed="false">
      <c r="A50" s="38" t="str">
        <f aca="false">Horse_Summary!A30</f>
        <v>HA-029</v>
      </c>
      <c r="B50" s="38" t="str">
        <f aca="false">Horse_Summary!B30</f>
        <v>HA Rahma Al Jannat</v>
      </c>
      <c r="C50" s="39" t="n">
        <f aca="false">Horse_Summary!V30</f>
        <v>112.7</v>
      </c>
      <c r="D50" s="39" t="n">
        <f aca="false">Horse_Summary!W30</f>
        <v>109.7</v>
      </c>
      <c r="E50" s="40" t="n">
        <f aca="false">Horse_Summary!X30</f>
        <v>111.2</v>
      </c>
      <c r="F50" s="40" t="n">
        <f aca="false">Horse_Summary!O30</f>
        <v>112.933333333333</v>
      </c>
      <c r="G50" s="44" t="n">
        <f aca="false">Horse_Summary!AA30</f>
        <v>0.233333333333334</v>
      </c>
    </row>
    <row r="51" customFormat="false" ht="15" hidden="false" customHeight="false" outlineLevel="0" collapsed="false">
      <c r="A51" s="41" t="str">
        <f aca="false">Horse_Summary!A31</f>
        <v>HA-030</v>
      </c>
      <c r="B51" s="41" t="str">
        <f aca="false">Horse_Summary!B31</f>
        <v>HA Zayd Royal Flame</v>
      </c>
      <c r="C51" s="42" t="n">
        <f aca="false">Horse_Summary!V31</f>
        <v>112.7</v>
      </c>
      <c r="D51" s="42" t="n">
        <f aca="false">Horse_Summary!W31</f>
        <v>107.6</v>
      </c>
      <c r="E51" s="43" t="n">
        <f aca="false">Horse_Summary!X31</f>
        <v>110.15</v>
      </c>
      <c r="F51" s="43" t="n">
        <f aca="false">Horse_Summary!O31</f>
        <v>110.433333333333</v>
      </c>
      <c r="G51" s="45" t="n">
        <f aca="false">Horse_Summary!AA31</f>
        <v>-2.26666666666668</v>
      </c>
    </row>
    <row r="52" customFormat="false" ht="15" hidden="false" customHeight="false" outlineLevel="0" collapsed="false">
      <c r="A52" s="38" t="str">
        <f aca="false">Horse_Summary!A32</f>
        <v>HA-031</v>
      </c>
      <c r="B52" s="38" t="str">
        <f aca="false">Horse_Summary!B32</f>
        <v>HA Mira Valentino</v>
      </c>
      <c r="C52" s="39" t="n">
        <f aca="false">Horse_Summary!V32</f>
        <v>112.8</v>
      </c>
      <c r="D52" s="39" t="n">
        <f aca="false">Horse_Summary!W32</f>
        <v>106.3</v>
      </c>
      <c r="E52" s="40" t="n">
        <f aca="false">Horse_Summary!X32</f>
        <v>109.55</v>
      </c>
      <c r="F52" s="40" t="n">
        <f aca="false">Horse_Summary!O32</f>
        <v>112.733333333333</v>
      </c>
      <c r="G52" s="44" t="n">
        <f aca="false">Horse_Summary!AA32</f>
        <v>-0.0666666666666629</v>
      </c>
    </row>
    <row r="53" customFormat="false" ht="15" hidden="false" customHeight="false" outlineLevel="0" collapsed="false">
      <c r="A53" s="41" t="str">
        <f aca="false">Horse_Summary!A33</f>
        <v>HA-032</v>
      </c>
      <c r="B53" s="41" t="str">
        <f aca="false">Horse_Summary!B33</f>
        <v>HA Kamal Al Jannat</v>
      </c>
      <c r="C53" s="42" t="n">
        <f aca="false">Horse_Summary!V33</f>
        <v>111.3</v>
      </c>
      <c r="D53" s="42" t="n">
        <f aca="false">Horse_Summary!W33</f>
        <v>106.5</v>
      </c>
      <c r="E53" s="43" t="n">
        <f aca="false">Horse_Summary!X33</f>
        <v>108.9</v>
      </c>
      <c r="F53" s="43" t="n">
        <f aca="false">Horse_Summary!O33</f>
        <v>107.3</v>
      </c>
      <c r="G53" s="45" t="n">
        <f aca="false">Horse_Summary!AA33</f>
        <v>-4</v>
      </c>
    </row>
    <row r="54" customFormat="false" ht="15" hidden="false" customHeight="false" outlineLevel="0" collapsed="false">
      <c r="A54" s="38" t="str">
        <f aca="false">Horse_Summary!A34</f>
        <v>HA-033</v>
      </c>
      <c r="B54" s="38" t="str">
        <f aca="false">Horse_Summary!B34</f>
        <v>HA Asha Pearl</v>
      </c>
      <c r="C54" s="39" t="n">
        <f aca="false">Horse_Summary!V34</f>
        <v>112.7</v>
      </c>
      <c r="D54" s="39" t="n">
        <f aca="false">Horse_Summary!W34</f>
        <v>107.2</v>
      </c>
      <c r="E54" s="40" t="n">
        <f aca="false">Horse_Summary!X34</f>
        <v>109.95</v>
      </c>
      <c r="F54" s="40" t="n">
        <f aca="false">Horse_Summary!O34</f>
        <v>111.733333333333</v>
      </c>
      <c r="G54" s="44" t="n">
        <f aca="false">Horse_Summary!AA34</f>
        <v>-0.966666666666669</v>
      </c>
    </row>
    <row r="55" customFormat="false" ht="15" hidden="false" customHeight="false" outlineLevel="0" collapsed="false">
      <c r="A55" s="41" t="str">
        <f aca="false">Horse_Summary!A35</f>
        <v>HA-034</v>
      </c>
      <c r="B55" s="41" t="str">
        <f aca="false">Horse_Summary!B35</f>
        <v>HA Rami Royal Flame</v>
      </c>
      <c r="C55" s="42" t="n">
        <f aca="false">Horse_Summary!V35</f>
        <v>112.7</v>
      </c>
      <c r="D55" s="42" t="n">
        <f aca="false">Horse_Summary!W35</f>
        <v>111.5</v>
      </c>
      <c r="E55" s="43" t="n">
        <f aca="false">Horse_Summary!X35</f>
        <v>112.1</v>
      </c>
      <c r="F55" s="43" t="n">
        <f aca="false">Horse_Summary!O35</f>
        <v>114.333333333333</v>
      </c>
      <c r="G55" s="45" t="n">
        <f aca="false">Horse_Summary!AA35</f>
        <v>1.63333333333333</v>
      </c>
    </row>
    <row r="56" customFormat="false" ht="15" hidden="false" customHeight="false" outlineLevel="0" collapsed="false">
      <c r="A56" s="38" t="str">
        <f aca="false">Horse_Summary!A36</f>
        <v>HA-035</v>
      </c>
      <c r="B56" s="38" t="str">
        <f aca="false">Horse_Summary!B36</f>
        <v>HA Yara Dream</v>
      </c>
      <c r="C56" s="39" t="n">
        <f aca="false">Horse_Summary!V36</f>
        <v>112.7</v>
      </c>
      <c r="D56" s="39" t="n">
        <f aca="false">Horse_Summary!W36</f>
        <v>107.6</v>
      </c>
      <c r="E56" s="40" t="n">
        <f aca="false">Horse_Summary!X36</f>
        <v>110.15</v>
      </c>
      <c r="F56" s="40" t="n">
        <f aca="false">Horse_Summary!O36</f>
        <v>111.4</v>
      </c>
      <c r="G56" s="44" t="n">
        <f aca="false">Horse_Summary!AA36</f>
        <v>-1.30000000000001</v>
      </c>
    </row>
    <row r="57" customFormat="false" ht="15" hidden="false" customHeight="false" outlineLevel="0" collapsed="false">
      <c r="A57" s="41" t="str">
        <f aca="false">Horse_Summary!A37</f>
        <v>HA-036</v>
      </c>
      <c r="B57" s="41" t="str">
        <f aca="false">Horse_Summary!B37</f>
        <v>HA Omar Golden Star</v>
      </c>
      <c r="C57" s="42" t="n">
        <f aca="false">Horse_Summary!V37</f>
        <v>112.9</v>
      </c>
      <c r="D57" s="42" t="n">
        <f aca="false">Horse_Summary!W37</f>
        <v>107.6</v>
      </c>
      <c r="E57" s="43" t="n">
        <f aca="false">Horse_Summary!X37</f>
        <v>110.25</v>
      </c>
      <c r="F57" s="43" t="n">
        <f aca="false">Horse_Summary!O37</f>
        <v>110.8</v>
      </c>
      <c r="G57" s="45" t="n">
        <f aca="false">Horse_Summary!AA37</f>
        <v>-2.10000000000001</v>
      </c>
    </row>
    <row r="58" customFormat="false" ht="15" hidden="false" customHeight="false" outlineLevel="0" collapsed="false">
      <c r="A58" s="38" t="str">
        <f aca="false">Horse_Summary!A38</f>
        <v>HA-037</v>
      </c>
      <c r="B58" s="38" t="str">
        <f aca="false">Horse_Summary!B38</f>
        <v>HA Selena El Noor</v>
      </c>
      <c r="C58" s="39" t="n">
        <f aca="false">Horse_Summary!V38</f>
        <v>112.9</v>
      </c>
      <c r="D58" s="39" t="n">
        <f aca="false">Horse_Summary!W38</f>
        <v>106.5</v>
      </c>
      <c r="E58" s="40" t="n">
        <f aca="false">Horse_Summary!X38</f>
        <v>109.7</v>
      </c>
      <c r="F58" s="40" t="n">
        <f aca="false">Horse_Summary!O38</f>
        <v>106.566666666667</v>
      </c>
      <c r="G58" s="44" t="n">
        <f aca="false">Horse_Summary!AA38</f>
        <v>-6.33333333333334</v>
      </c>
    </row>
    <row r="59" customFormat="false" ht="15" hidden="false" customHeight="false" outlineLevel="0" collapsed="false">
      <c r="A59" s="41" t="str">
        <f aca="false">Horse_Summary!A39</f>
        <v>HA-038</v>
      </c>
      <c r="B59" s="41" t="str">
        <f aca="false">Horse_Summary!B39</f>
        <v>HA Nasim Pearl</v>
      </c>
      <c r="C59" s="42" t="n">
        <f aca="false">Horse_Summary!V39</f>
        <v>112.9</v>
      </c>
      <c r="D59" s="42" t="n">
        <f aca="false">Horse_Summary!W39</f>
        <v>106.5</v>
      </c>
      <c r="E59" s="43" t="n">
        <f aca="false">Horse_Summary!X39</f>
        <v>109.7</v>
      </c>
      <c r="F59" s="43" t="n">
        <f aca="false">Horse_Summary!O39</f>
        <v>110.133333333333</v>
      </c>
      <c r="G59" s="45" t="n">
        <f aca="false">Horse_Summary!AA39</f>
        <v>-2.76666666666668</v>
      </c>
    </row>
    <row r="60" customFormat="false" ht="15" hidden="false" customHeight="false" outlineLevel="0" collapsed="false">
      <c r="A60" s="38" t="str">
        <f aca="false">Horse_Summary!A40</f>
        <v>HA-039</v>
      </c>
      <c r="B60" s="38" t="str">
        <f aca="false">Horse_Summary!B40</f>
        <v>HA Leila Royal Flame</v>
      </c>
      <c r="C60" s="39" t="n">
        <f aca="false">Horse_Summary!V40</f>
        <v>112.7</v>
      </c>
      <c r="D60" s="39" t="n">
        <f aca="false">Horse_Summary!W40</f>
        <v>106.3</v>
      </c>
      <c r="E60" s="40" t="n">
        <f aca="false">Horse_Summary!X40</f>
        <v>109.5</v>
      </c>
      <c r="F60" s="40" t="n">
        <f aca="false">Horse_Summary!O40</f>
        <v>110.633333333333</v>
      </c>
      <c r="G60" s="44" t="n">
        <f aca="false">Horse_Summary!AA40</f>
        <v>-2.06666666666668</v>
      </c>
    </row>
    <row r="61" customFormat="false" ht="15" hidden="false" customHeight="false" outlineLevel="0" collapsed="false">
      <c r="A61" s="41" t="str">
        <f aca="false">Horse_Summary!A41</f>
        <v>HA-040</v>
      </c>
      <c r="B61" s="41" t="str">
        <f aca="false">Horse_Summary!B41</f>
        <v>HA Kairo Marquis</v>
      </c>
      <c r="C61" s="42" t="n">
        <f aca="false">Horse_Summary!V41</f>
        <v>112.7</v>
      </c>
      <c r="D61" s="42" t="n">
        <f aca="false">Horse_Summary!W41</f>
        <v>106.5</v>
      </c>
      <c r="E61" s="43" t="n">
        <f aca="false">Horse_Summary!X41</f>
        <v>109.6</v>
      </c>
      <c r="F61" s="43" t="n">
        <f aca="false">Horse_Summary!O41</f>
        <v>113.933333333333</v>
      </c>
      <c r="G61" s="45" t="n">
        <f aca="false">Horse_Summary!AA41</f>
        <v>1.23333333333332</v>
      </c>
    </row>
  </sheetData>
  <conditionalFormatting sqref="D13:D17">
    <cfRule type="colorScale" priority="2">
      <colorScale>
        <cfvo type="num" val="-1.2"/>
        <cfvo type="num" val="0"/>
        <cfvo type="num" val="1.2"/>
        <color rgb="FFE34948"/>
        <color rgb="FFF7F6F3"/>
        <color rgb="FF2A78D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AF7A"/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8" min="2" style="0" width="13"/>
  </cols>
  <sheetData>
    <row r="1" customFormat="false" ht="25.5" hidden="false" customHeight="true" outlineLevel="0" collapsed="false">
      <c r="A1" s="22" t="s">
        <v>524</v>
      </c>
    </row>
    <row r="2" customFormat="false" ht="15" hidden="false" customHeight="false" outlineLevel="0" collapsed="false">
      <c r="A2" s="2" t="s">
        <v>525</v>
      </c>
    </row>
    <row r="4" customFormat="false" ht="15" hidden="false" customHeight="false" outlineLevel="0" collapsed="false">
      <c r="A4" s="8" t="s">
        <v>526</v>
      </c>
    </row>
    <row r="5" customFormat="false" ht="15" hidden="false" customHeight="false" outlineLevel="0" collapsed="false">
      <c r="A5" s="9" t="s">
        <v>14</v>
      </c>
      <c r="B5" s="9" t="s">
        <v>121</v>
      </c>
      <c r="C5" s="9" t="s">
        <v>212</v>
      </c>
      <c r="D5" s="9" t="s">
        <v>107</v>
      </c>
      <c r="E5" s="9" t="s">
        <v>145</v>
      </c>
      <c r="F5" s="9" t="s">
        <v>132</v>
      </c>
      <c r="G5" s="9" t="s">
        <v>527</v>
      </c>
    </row>
    <row r="6" customFormat="false" ht="15" hidden="false" customHeight="false" outlineLevel="0" collapsed="false">
      <c r="A6" s="10" t="s">
        <v>122</v>
      </c>
      <c r="B6" s="11" t="n">
        <f aca="false">IFERROR(AVERAGEIFS(Horse_Summary!$O$2:$O$41,Horse_Summary!$F$2:$F$41,$A6,Horse_Summary!$E$2:$E$41,B$5),"")</f>
        <v>111.4</v>
      </c>
      <c r="C6" s="11" t="n">
        <f aca="false">IFERROR(AVERAGEIFS(Horse_Summary!$O$2:$O$41,Horse_Summary!$F$2:$F$41,$A6,Horse_Summary!$E$2:$E$41,C$5),"")</f>
        <v>107.6</v>
      </c>
      <c r="D6" s="11" t="n">
        <f aca="false">IFERROR(AVERAGEIFS(Horse_Summary!$O$2:$O$41,Horse_Summary!$F$2:$F$41,$A6,Horse_Summary!$E$2:$E$41,D$5),"")</f>
        <v>107.1</v>
      </c>
      <c r="E6" s="11" t="n">
        <f aca="false">IFERROR(AVERAGEIFS(Horse_Summary!$O$2:$O$41,Horse_Summary!$F$2:$F$41,$A6,Horse_Summary!$E$2:$E$41,E$5),"")</f>
        <v>105.755555555556</v>
      </c>
      <c r="F6" s="11" t="n">
        <f aca="false">IFERROR(AVERAGEIFS(Horse_Summary!$O$2:$O$41,Horse_Summary!$F$2:$F$41,$A6,Horse_Summary!$E$2:$E$41,F$5),"")</f>
        <v>109.733333333333</v>
      </c>
      <c r="G6" s="11" t="n">
        <f aca="false">IFERROR(AVERAGEIF(Horse_Summary!$F$2:$F$41,$A6,Horse_Summary!$O$2:$O$41),"")</f>
        <v>108.302564102564</v>
      </c>
    </row>
    <row r="7" customFormat="false" ht="15" hidden="false" customHeight="false" outlineLevel="0" collapsed="false">
      <c r="A7" s="10" t="s">
        <v>108</v>
      </c>
      <c r="B7" s="11" t="n">
        <f aca="false">IFERROR(AVERAGEIFS(Horse_Summary!$O$2:$O$41,Horse_Summary!$F$2:$F$41,$A7,Horse_Summary!$E$2:$E$41,B$5),"")</f>
        <v>109.516666666667</v>
      </c>
      <c r="C7" s="11" t="n">
        <f aca="false">IFERROR(AVERAGEIFS(Horse_Summary!$O$2:$O$41,Horse_Summary!$F$2:$F$41,$A7,Horse_Summary!$E$2:$E$41,C$5),"")</f>
        <v>112.366666666667</v>
      </c>
      <c r="D7" s="11" t="n">
        <f aca="false">IFERROR(AVERAGEIFS(Horse_Summary!$O$2:$O$41,Horse_Summary!$F$2:$F$41,$A7,Horse_Summary!$E$2:$E$41,D$5),"")</f>
        <v>108.45</v>
      </c>
      <c r="E7" s="11" t="n">
        <f aca="false">IFERROR(AVERAGEIFS(Horse_Summary!$O$2:$O$41,Horse_Summary!$F$2:$F$41,$A7,Horse_Summary!$E$2:$E$41,E$5),"")</f>
        <v>111.383333333333</v>
      </c>
      <c r="F7" s="11" t="n">
        <f aca="false">IFERROR(AVERAGEIFS(Horse_Summary!$O$2:$O$41,Horse_Summary!$F$2:$F$41,$A7,Horse_Summary!$E$2:$E$41,F$5),"")</f>
        <v>108.5</v>
      </c>
      <c r="G7" s="11" t="n">
        <f aca="false">IFERROR(AVERAGEIF(Horse_Summary!$F$2:$F$41,$A7,Horse_Summary!$O$2:$O$41),"")</f>
        <v>110.214814814815</v>
      </c>
    </row>
    <row r="8" customFormat="false" ht="15" hidden="false" customHeight="false" outlineLevel="0" collapsed="false">
      <c r="A8" s="10" t="s">
        <v>164</v>
      </c>
      <c r="B8" s="11" t="n">
        <f aca="false">IFERROR(AVERAGEIFS(Horse_Summary!$O$2:$O$41,Horse_Summary!$F$2:$F$41,$A8,Horse_Summary!$E$2:$E$41,B$5),"")</f>
        <v>111.958333333333</v>
      </c>
      <c r="C8" s="11" t="n">
        <f aca="false">IFERROR(AVERAGEIFS(Horse_Summary!$O$2:$O$41,Horse_Summary!$F$2:$F$41,$A8,Horse_Summary!$E$2:$E$41,C$5),"")</f>
        <v>110.622222222222</v>
      </c>
      <c r="D8" s="11" t="n">
        <f aca="false">IFERROR(AVERAGEIFS(Horse_Summary!$O$2:$O$41,Horse_Summary!$F$2:$F$41,$A8,Horse_Summary!$E$2:$E$41,D$5),"")</f>
        <v>110.755555555556</v>
      </c>
      <c r="E8" s="11" t="n">
        <f aca="false">IFERROR(AVERAGEIFS(Horse_Summary!$O$2:$O$41,Horse_Summary!$F$2:$F$41,$A8,Horse_Summary!$E$2:$E$41,E$5),"")</f>
        <v>109.911111111111</v>
      </c>
      <c r="F8" s="11" t="n">
        <f aca="false">IFERROR(AVERAGEIFS(Horse_Summary!$O$2:$O$41,Horse_Summary!$F$2:$F$41,$A8,Horse_Summary!$E$2:$E$41,F$5),"")</f>
        <v>110.426666666667</v>
      </c>
      <c r="G8" s="11" t="n">
        <f aca="false">IFERROR(AVERAGEIF(Horse_Summary!$F$2:$F$41,$A8,Horse_Summary!$O$2:$O$41),"")</f>
        <v>110.768518518519</v>
      </c>
    </row>
    <row r="9" customFormat="false" ht="15" hidden="false" customHeight="false" outlineLevel="0" collapsed="false">
      <c r="A9" s="30" t="s">
        <v>528</v>
      </c>
      <c r="B9" s="31" t="n">
        <f aca="false">IFERROR(AVERAGEIF(Horse_Summary!$E$2:$E$41,B$5,Horse_Summary!$O$2:$O$41),"")</f>
        <v>111.22962962963</v>
      </c>
      <c r="C9" s="31" t="n">
        <f aca="false">IFERROR(AVERAGEIF(Horse_Summary!$E$2:$E$41,C$5,Horse_Summary!$O$2:$O$41),"")</f>
        <v>109.925</v>
      </c>
      <c r="D9" s="31" t="n">
        <f aca="false">IFERROR(AVERAGEIF(Horse_Summary!$E$2:$E$41,D$5,Horse_Summary!$O$2:$O$41),"")</f>
        <v>109.052380952381</v>
      </c>
      <c r="E9" s="31" t="n">
        <f aca="false">IFERROR(AVERAGEIF(Horse_Summary!$E$2:$E$41,E$5,Horse_Summary!$O$2:$O$41),"")</f>
        <v>108.720833333333</v>
      </c>
      <c r="F9" s="31" t="n">
        <f aca="false">IFERROR(AVERAGEIF(Horse_Summary!$E$2:$E$41,F$5,Horse_Summary!$O$2:$O$41),"")</f>
        <v>110.0125</v>
      </c>
      <c r="G9" s="31" t="n">
        <f aca="false">AVERAGE(Horse_Summary!$O$2:$O$41)</f>
        <v>109.8425</v>
      </c>
    </row>
    <row r="12" customFormat="false" ht="15" hidden="false" customHeight="false" outlineLevel="0" collapsed="false">
      <c r="A12" s="8" t="s">
        <v>529</v>
      </c>
    </row>
    <row r="13" customFormat="false" ht="15" hidden="false" customHeight="false" outlineLevel="0" collapsed="false">
      <c r="A13" s="9" t="s">
        <v>14</v>
      </c>
      <c r="B13" s="9" t="s">
        <v>121</v>
      </c>
      <c r="C13" s="9" t="s">
        <v>212</v>
      </c>
      <c r="D13" s="9" t="s">
        <v>107</v>
      </c>
      <c r="E13" s="9" t="s">
        <v>145</v>
      </c>
      <c r="F13" s="9" t="s">
        <v>132</v>
      </c>
      <c r="G13" s="9" t="s">
        <v>530</v>
      </c>
    </row>
    <row r="14" customFormat="false" ht="15" hidden="false" customHeight="false" outlineLevel="0" collapsed="false">
      <c r="A14" s="10" t="s">
        <v>122</v>
      </c>
      <c r="B14" s="46" t="n">
        <f aca="false">COUNTIFS(Horse_Summary!$F$2:$F$41,$A14,Horse_Summary!$E$2:$E$41,B$13)</f>
        <v>3</v>
      </c>
      <c r="C14" s="46" t="n">
        <f aca="false">COUNTIFS(Horse_Summary!$F$2:$F$41,$A14,Horse_Summary!$E$2:$E$41,C$13)</f>
        <v>3</v>
      </c>
      <c r="D14" s="46" t="n">
        <f aca="false">COUNTIFS(Horse_Summary!$F$2:$F$41,$A14,Horse_Summary!$E$2:$E$41,D$13)</f>
        <v>2</v>
      </c>
      <c r="E14" s="46" t="n">
        <f aca="false">COUNTIFS(Horse_Summary!$F$2:$F$41,$A14,Horse_Summary!$E$2:$E$41,E$13)</f>
        <v>3</v>
      </c>
      <c r="F14" s="46" t="n">
        <f aca="false">COUNTIFS(Horse_Summary!$F$2:$F$41,$A14,Horse_Summary!$E$2:$E$41,F$13)</f>
        <v>2</v>
      </c>
      <c r="G14" s="46" t="n">
        <f aca="false">COUNTIF(Horse_Summary!$F$2:$F$41,$A14)</f>
        <v>13</v>
      </c>
    </row>
    <row r="15" customFormat="false" ht="15" hidden="false" customHeight="false" outlineLevel="0" collapsed="false">
      <c r="A15" s="10" t="s">
        <v>108</v>
      </c>
      <c r="B15" s="46" t="n">
        <f aca="false">COUNTIFS(Horse_Summary!$F$2:$F$41,$A15,Horse_Summary!$E$2:$E$41,B$13)</f>
        <v>2</v>
      </c>
      <c r="C15" s="46" t="n">
        <f aca="false">COUNTIFS(Horse_Summary!$F$2:$F$41,$A15,Horse_Summary!$E$2:$E$41,C$13)</f>
        <v>2</v>
      </c>
      <c r="D15" s="46" t="n">
        <f aca="false">COUNTIFS(Horse_Summary!$F$2:$F$41,$A15,Horse_Summary!$E$2:$E$41,D$13)</f>
        <v>2</v>
      </c>
      <c r="E15" s="46" t="n">
        <f aca="false">COUNTIFS(Horse_Summary!$F$2:$F$41,$A15,Horse_Summary!$E$2:$E$41,E$13)</f>
        <v>2</v>
      </c>
      <c r="F15" s="46" t="n">
        <f aca="false">COUNTIFS(Horse_Summary!$F$2:$F$41,$A15,Horse_Summary!$E$2:$E$41,F$13)</f>
        <v>1</v>
      </c>
      <c r="G15" s="46" t="n">
        <f aca="false">COUNTIF(Horse_Summary!$F$2:$F$41,$A15)</f>
        <v>9</v>
      </c>
    </row>
    <row r="16" customFormat="false" ht="15" hidden="false" customHeight="false" outlineLevel="0" collapsed="false">
      <c r="A16" s="10" t="s">
        <v>164</v>
      </c>
      <c r="B16" s="46" t="n">
        <f aca="false">COUNTIFS(Horse_Summary!$F$2:$F$41,$A16,Horse_Summary!$E$2:$E$41,B$13)</f>
        <v>4</v>
      </c>
      <c r="C16" s="46" t="n">
        <f aca="false">COUNTIFS(Horse_Summary!$F$2:$F$41,$A16,Horse_Summary!$E$2:$E$41,C$13)</f>
        <v>3</v>
      </c>
      <c r="D16" s="46" t="n">
        <f aca="false">COUNTIFS(Horse_Summary!$F$2:$F$41,$A16,Horse_Summary!$E$2:$E$41,D$13)</f>
        <v>3</v>
      </c>
      <c r="E16" s="46" t="n">
        <f aca="false">COUNTIFS(Horse_Summary!$F$2:$F$41,$A16,Horse_Summary!$E$2:$E$41,E$13)</f>
        <v>3</v>
      </c>
      <c r="F16" s="46" t="n">
        <f aca="false">COUNTIFS(Horse_Summary!$F$2:$F$41,$A16,Horse_Summary!$E$2:$E$41,F$13)</f>
        <v>5</v>
      </c>
      <c r="G16" s="46" t="n">
        <f aca="false">COUNTIF(Horse_Summary!$F$2:$F$41,$A16)</f>
        <v>18</v>
      </c>
    </row>
    <row r="17" customFormat="false" ht="15" hidden="false" customHeight="false" outlineLevel="0" collapsed="false">
      <c r="A17" s="30" t="s">
        <v>530</v>
      </c>
      <c r="B17" s="47" t="n">
        <f aca="false">COUNTIF(Horse_Summary!$E$2:$E$41,B$13)</f>
        <v>9</v>
      </c>
      <c r="C17" s="47" t="n">
        <f aca="false">COUNTIF(Horse_Summary!$E$2:$E$41,C$13)</f>
        <v>8</v>
      </c>
      <c r="D17" s="47" t="n">
        <f aca="false">COUNTIF(Horse_Summary!$E$2:$E$41,D$13)</f>
        <v>7</v>
      </c>
      <c r="E17" s="47" t="n">
        <f aca="false">COUNTIF(Horse_Summary!$E$2:$E$41,E$13)</f>
        <v>8</v>
      </c>
      <c r="F17" s="47" t="n">
        <f aca="false">COUNTIF(Horse_Summary!$E$2:$E$41,F$13)</f>
        <v>8</v>
      </c>
      <c r="G17" s="47" t="n">
        <f aca="false">COUNTA(Horse_Summary!$A$2:$A$41)</f>
        <v>40</v>
      </c>
    </row>
    <row r="20" customFormat="false" ht="15" hidden="false" customHeight="false" outlineLevel="0" collapsed="false">
      <c r="A20" s="8" t="s">
        <v>531</v>
      </c>
    </row>
    <row r="21" customFormat="false" ht="15" hidden="false" customHeight="false" outlineLevel="0" collapsed="false">
      <c r="A21" s="9" t="s">
        <v>14</v>
      </c>
      <c r="B21" s="9" t="s">
        <v>32</v>
      </c>
      <c r="C21" s="9" t="s">
        <v>33</v>
      </c>
      <c r="D21" s="9" t="s">
        <v>34</v>
      </c>
      <c r="E21" s="9" t="s">
        <v>35</v>
      </c>
      <c r="F21" s="9" t="s">
        <v>36</v>
      </c>
      <c r="G21" s="9" t="s">
        <v>37</v>
      </c>
      <c r="H21" s="9" t="s">
        <v>17</v>
      </c>
    </row>
    <row r="22" customFormat="false" ht="15" hidden="false" customHeight="false" outlineLevel="0" collapsed="false">
      <c r="A22" s="10" t="s">
        <v>122</v>
      </c>
      <c r="B22" s="11" t="n">
        <f aca="false">AVERAGEIF(Horse_Summary!$F$2:$F$41,$A22,Horse_Summary!$I$2:$I$41)</f>
        <v>18.1794871794872</v>
      </c>
      <c r="C22" s="11" t="n">
        <f aca="false">AVERAGEIF(Horse_Summary!$F$2:$F$41,$A22,Horse_Summary!$J$2:$J$41)</f>
        <v>17.8333333333333</v>
      </c>
      <c r="D22" s="11" t="n">
        <f aca="false">AVERAGEIF(Horse_Summary!$F$2:$F$41,$A22,Horse_Summary!$K$2:$K$41)</f>
        <v>18.3307692307692</v>
      </c>
      <c r="E22" s="11" t="n">
        <f aca="false">AVERAGEIF(Horse_Summary!$F$2:$F$41,$A22,Horse_Summary!$L$2:$L$41)</f>
        <v>17.8641025641026</v>
      </c>
      <c r="F22" s="11" t="n">
        <f aca="false">AVERAGEIF(Horse_Summary!$F$2:$F$41,$A22,Horse_Summary!$M$2:$M$41)</f>
        <v>17.9974358974359</v>
      </c>
      <c r="G22" s="11" t="n">
        <f aca="false">AVERAGEIF(Horse_Summary!$F$2:$F$41,$A22,Horse_Summary!$N$2:$N$41)</f>
        <v>18.0974358974359</v>
      </c>
      <c r="H22" s="12" t="n">
        <f aca="false">COUNTIFS(Horse_Summary!$F$2:$F$41,$A22,Horse_Summary!$S$2:$S$41,"Elite")/COUNTIF(Horse_Summary!$F$2:$F$41,$A22)</f>
        <v>0.0769230769230769</v>
      </c>
    </row>
    <row r="23" customFormat="false" ht="15" hidden="false" customHeight="false" outlineLevel="0" collapsed="false">
      <c r="A23" s="13" t="s">
        <v>108</v>
      </c>
      <c r="B23" s="14" t="n">
        <f aca="false">AVERAGEIF(Horse_Summary!$F$2:$F$41,$A23,Horse_Summary!$I$2:$I$41)</f>
        <v>18.5</v>
      </c>
      <c r="C23" s="14" t="n">
        <f aca="false">AVERAGEIF(Horse_Summary!$F$2:$F$41,$A23,Horse_Summary!$J$2:$J$41)</f>
        <v>18.1962962962963</v>
      </c>
      <c r="D23" s="14" t="n">
        <f aca="false">AVERAGEIF(Horse_Summary!$F$2:$F$41,$A23,Horse_Summary!$K$2:$K$41)</f>
        <v>18.3074074074074</v>
      </c>
      <c r="E23" s="14" t="n">
        <f aca="false">AVERAGEIF(Horse_Summary!$F$2:$F$41,$A23,Horse_Summary!$L$2:$L$41)</f>
        <v>18.3333333333333</v>
      </c>
      <c r="F23" s="14" t="n">
        <f aca="false">AVERAGEIF(Horse_Summary!$F$2:$F$41,$A23,Horse_Summary!$M$2:$M$41)</f>
        <v>18.5444444444444</v>
      </c>
      <c r="G23" s="14" t="n">
        <f aca="false">AVERAGEIF(Horse_Summary!$F$2:$F$41,$A23,Horse_Summary!$N$2:$N$41)</f>
        <v>18.3333333333333</v>
      </c>
      <c r="H23" s="15" t="n">
        <f aca="false">COUNTIFS(Horse_Summary!$F$2:$F$41,$A23,Horse_Summary!$S$2:$S$41,"Elite")/COUNTIF(Horse_Summary!$F$2:$F$41,$A23)</f>
        <v>0.444444444444444</v>
      </c>
    </row>
    <row r="24" customFormat="false" ht="15" hidden="false" customHeight="false" outlineLevel="0" collapsed="false">
      <c r="A24" s="10" t="s">
        <v>164</v>
      </c>
      <c r="B24" s="11" t="n">
        <f aca="false">AVERAGEIF(Horse_Summary!$F$2:$F$41,$A24,Horse_Summary!$I$2:$I$41)</f>
        <v>18.5981481481481</v>
      </c>
      <c r="C24" s="11" t="n">
        <f aca="false">AVERAGEIF(Horse_Summary!$F$2:$F$41,$A24,Horse_Summary!$J$2:$J$41)</f>
        <v>18.8111111111111</v>
      </c>
      <c r="D24" s="11" t="n">
        <f aca="false">AVERAGEIF(Horse_Summary!$F$2:$F$41,$A24,Horse_Summary!$K$2:$K$41)</f>
        <v>18.2777777777778</v>
      </c>
      <c r="E24" s="11" t="n">
        <f aca="false">AVERAGEIF(Horse_Summary!$F$2:$F$41,$A24,Horse_Summary!$L$2:$L$41)</f>
        <v>18.2092592592593</v>
      </c>
      <c r="F24" s="11" t="n">
        <f aca="false">AVERAGEIF(Horse_Summary!$F$2:$F$41,$A24,Horse_Summary!$M$2:$M$41)</f>
        <v>18.462962962963</v>
      </c>
      <c r="G24" s="11" t="n">
        <f aca="false">AVERAGEIF(Horse_Summary!$F$2:$F$41,$A24,Horse_Summary!$N$2:$N$41)</f>
        <v>18.4092592592593</v>
      </c>
      <c r="H24" s="12" t="n">
        <f aca="false">COUNTIFS(Horse_Summary!$F$2:$F$41,$A24,Horse_Summary!$S$2:$S$41,"Elite")/COUNTIF(Horse_Summary!$F$2:$F$41,$A24)</f>
        <v>0.333333333333333</v>
      </c>
    </row>
    <row r="27" customFormat="false" ht="15" hidden="false" customHeight="false" outlineLevel="0" collapsed="false">
      <c r="A27" s="8" t="s">
        <v>532</v>
      </c>
    </row>
    <row r="28" customFormat="false" ht="15" hidden="false" customHeight="false" outlineLevel="0" collapsed="false">
      <c r="A28" s="9" t="s">
        <v>13</v>
      </c>
      <c r="B28" s="9" t="s">
        <v>32</v>
      </c>
      <c r="C28" s="9" t="s">
        <v>33</v>
      </c>
      <c r="D28" s="9" t="s">
        <v>34</v>
      </c>
      <c r="E28" s="9" t="s">
        <v>35</v>
      </c>
      <c r="F28" s="9" t="s">
        <v>36</v>
      </c>
      <c r="G28" s="9" t="s">
        <v>37</v>
      </c>
      <c r="H28" s="9" t="s">
        <v>17</v>
      </c>
    </row>
    <row r="29" customFormat="false" ht="15" hidden="false" customHeight="false" outlineLevel="0" collapsed="false">
      <c r="A29" s="10" t="s">
        <v>121</v>
      </c>
      <c r="B29" s="11" t="n">
        <f aca="false">AVERAGEIF(Horse_Summary!$E$2:$E$41,$A29,Horse_Summary!$I$2:$I$41)</f>
        <v>18.7888888888889</v>
      </c>
      <c r="C29" s="11" t="n">
        <f aca="false">AVERAGEIF(Horse_Summary!$E$2:$E$41,$A29,Horse_Summary!$J$2:$J$41)</f>
        <v>18.6185185185185</v>
      </c>
      <c r="D29" s="11" t="n">
        <f aca="false">AVERAGEIF(Horse_Summary!$E$2:$E$41,$A29,Horse_Summary!$K$2:$K$41)</f>
        <v>18.4111111111111</v>
      </c>
      <c r="E29" s="11" t="n">
        <f aca="false">AVERAGEIF(Horse_Summary!$E$2:$E$41,$A29,Horse_Summary!$L$2:$L$41)</f>
        <v>18.4481481481482</v>
      </c>
      <c r="F29" s="11" t="n">
        <f aca="false">AVERAGEIF(Horse_Summary!$E$2:$E$41,$A29,Horse_Summary!$M$2:$M$41)</f>
        <v>18.6259259259259</v>
      </c>
      <c r="G29" s="11" t="n">
        <f aca="false">AVERAGEIF(Horse_Summary!$E$2:$E$41,$A29,Horse_Summary!$N$2:$N$41)</f>
        <v>18.337037037037</v>
      </c>
      <c r="H29" s="12" t="n">
        <f aca="false">COUNTIFS(Horse_Summary!$E$2:$E$41,$A29,Horse_Summary!$S$2:$S$41,"Elite")/COUNTIF(Horse_Summary!$E$2:$E$41,$A29)</f>
        <v>0.555555555555556</v>
      </c>
    </row>
    <row r="30" customFormat="false" ht="15" hidden="false" customHeight="false" outlineLevel="0" collapsed="false">
      <c r="A30" s="13" t="s">
        <v>212</v>
      </c>
      <c r="B30" s="14" t="n">
        <f aca="false">AVERAGEIF(Horse_Summary!$E$2:$E$41,$A30,Horse_Summary!$I$2:$I$41)</f>
        <v>18.5833333333333</v>
      </c>
      <c r="C30" s="14" t="n">
        <f aca="false">AVERAGEIF(Horse_Summary!$E$2:$E$41,$A30,Horse_Summary!$J$2:$J$41)</f>
        <v>18.2916666666667</v>
      </c>
      <c r="D30" s="14" t="n">
        <f aca="false">AVERAGEIF(Horse_Summary!$E$2:$E$41,$A30,Horse_Summary!$K$2:$K$41)</f>
        <v>18.1916666666667</v>
      </c>
      <c r="E30" s="14" t="n">
        <f aca="false">AVERAGEIF(Horse_Summary!$E$2:$E$41,$A30,Horse_Summary!$L$2:$L$41)</f>
        <v>18.275</v>
      </c>
      <c r="F30" s="14" t="n">
        <f aca="false">AVERAGEIF(Horse_Summary!$E$2:$E$41,$A30,Horse_Summary!$M$2:$M$41)</f>
        <v>18.0375</v>
      </c>
      <c r="G30" s="14" t="n">
        <f aca="false">AVERAGEIF(Horse_Summary!$E$2:$E$41,$A30,Horse_Summary!$N$2:$N$41)</f>
        <v>18.5458333333333</v>
      </c>
      <c r="H30" s="15" t="n">
        <f aca="false">COUNTIFS(Horse_Summary!$E$2:$E$41,$A30,Horse_Summary!$S$2:$S$41,"Elite")/COUNTIF(Horse_Summary!$E$2:$E$41,$A30)</f>
        <v>0.125</v>
      </c>
    </row>
    <row r="31" customFormat="false" ht="15" hidden="false" customHeight="false" outlineLevel="0" collapsed="false">
      <c r="A31" s="10" t="s">
        <v>107</v>
      </c>
      <c r="B31" s="11" t="n">
        <f aca="false">AVERAGEIF(Horse_Summary!$E$2:$E$41,$A31,Horse_Summary!$I$2:$I$41)</f>
        <v>18.1047619047619</v>
      </c>
      <c r="C31" s="11" t="n">
        <f aca="false">AVERAGEIF(Horse_Summary!$E$2:$E$41,$A31,Horse_Summary!$J$2:$J$41)</f>
        <v>17.8380952380952</v>
      </c>
      <c r="D31" s="11" t="n">
        <f aca="false">AVERAGEIF(Horse_Summary!$E$2:$E$41,$A31,Horse_Summary!$K$2:$K$41)</f>
        <v>18.5571428571429</v>
      </c>
      <c r="E31" s="11" t="n">
        <f aca="false">AVERAGEIF(Horse_Summary!$E$2:$E$41,$A31,Horse_Summary!$L$2:$L$41)</f>
        <v>18.1285714285714</v>
      </c>
      <c r="F31" s="11" t="n">
        <f aca="false">AVERAGEIF(Horse_Summary!$E$2:$E$41,$A31,Horse_Summary!$M$2:$M$41)</f>
        <v>18.1142857142857</v>
      </c>
      <c r="G31" s="11" t="n">
        <f aca="false">AVERAGEIF(Horse_Summary!$E$2:$E$41,$A31,Horse_Summary!$N$2:$N$41)</f>
        <v>18.3095238095238</v>
      </c>
      <c r="H31" s="12" t="n">
        <f aca="false">COUNTIFS(Horse_Summary!$E$2:$E$41,$A31,Horse_Summary!$S$2:$S$41,"Elite")/COUNTIF(Horse_Summary!$E$2:$E$41,$A31)</f>
        <v>0.285714285714286</v>
      </c>
    </row>
    <row r="32" customFormat="false" ht="15" hidden="false" customHeight="false" outlineLevel="0" collapsed="false">
      <c r="A32" s="13" t="s">
        <v>145</v>
      </c>
      <c r="B32" s="14" t="n">
        <f aca="false">AVERAGEIF(Horse_Summary!$E$2:$E$41,$A32,Horse_Summary!$I$2:$I$41)</f>
        <v>18.0208333333333</v>
      </c>
      <c r="C32" s="14" t="n">
        <f aca="false">AVERAGEIF(Horse_Summary!$E$2:$E$41,$A32,Horse_Summary!$J$2:$J$41)</f>
        <v>18.4</v>
      </c>
      <c r="D32" s="14" t="n">
        <f aca="false">AVERAGEIF(Horse_Summary!$E$2:$E$41,$A32,Horse_Summary!$K$2:$K$41)</f>
        <v>17.85</v>
      </c>
      <c r="E32" s="14" t="n">
        <f aca="false">AVERAGEIF(Horse_Summary!$E$2:$E$41,$A32,Horse_Summary!$L$2:$L$41)</f>
        <v>17.9916666666667</v>
      </c>
      <c r="F32" s="14" t="n">
        <f aca="false">AVERAGEIF(Horse_Summary!$E$2:$E$41,$A32,Horse_Summary!$M$2:$M$41)</f>
        <v>18.2333333333333</v>
      </c>
      <c r="G32" s="14" t="n">
        <f aca="false">AVERAGEIF(Horse_Summary!$E$2:$E$41,$A32,Horse_Summary!$N$2:$N$41)</f>
        <v>18.225</v>
      </c>
      <c r="H32" s="15" t="n">
        <f aca="false">COUNTIFS(Horse_Summary!$E$2:$E$41,$A32,Horse_Summary!$S$2:$S$41,"Elite")/COUNTIF(Horse_Summary!$E$2:$E$41,$A32)</f>
        <v>0.25</v>
      </c>
    </row>
    <row r="33" customFormat="false" ht="15" hidden="false" customHeight="false" outlineLevel="0" collapsed="false">
      <c r="A33" s="10" t="s">
        <v>132</v>
      </c>
      <c r="B33" s="11" t="n">
        <f aca="false">AVERAGEIF(Horse_Summary!$E$2:$E$41,$A33,Horse_Summary!$I$2:$I$41)</f>
        <v>18.6166666666667</v>
      </c>
      <c r="C33" s="11" t="n">
        <f aca="false">AVERAGEIF(Horse_Summary!$E$2:$E$41,$A33,Horse_Summary!$J$2:$J$41)</f>
        <v>18.5291666666667</v>
      </c>
      <c r="D33" s="11" t="n">
        <f aca="false">AVERAGEIF(Horse_Summary!$E$2:$E$41,$A33,Horse_Summary!$K$2:$K$41)</f>
        <v>18.5166666666667</v>
      </c>
      <c r="E33" s="11" t="n">
        <f aca="false">AVERAGEIF(Horse_Summary!$E$2:$E$41,$A33,Horse_Summary!$L$2:$L$41)</f>
        <v>17.7416666666667</v>
      </c>
      <c r="F33" s="11" t="n">
        <f aca="false">AVERAGEIF(Horse_Summary!$E$2:$E$41,$A33,Horse_Summary!$M$2:$M$41)</f>
        <v>18.575</v>
      </c>
      <c r="G33" s="11" t="n">
        <f aca="false">AVERAGEIF(Horse_Summary!$E$2:$E$41,$A33,Horse_Summary!$N$2:$N$41)</f>
        <v>18.0333333333333</v>
      </c>
      <c r="H33" s="12" t="n">
        <f aca="false">COUNTIFS(Horse_Summary!$E$2:$E$41,$A33,Horse_Summary!$S$2:$S$41,"Elite")/COUNTIF(Horse_Summary!$E$2:$E$41,$A33)</f>
        <v>0.125</v>
      </c>
    </row>
    <row r="35" customFormat="false" ht="15" hidden="false" customHeight="false" outlineLevel="0" collapsed="false">
      <c r="A35" s="35" t="s">
        <v>533</v>
      </c>
    </row>
    <row r="36" customFormat="false" ht="15" hidden="false" customHeight="false" outlineLevel="0" collapsed="false">
      <c r="A36" s="48" t="str">
        <f aca="false">"Horses with a sex/age mismatch flag: "&amp;COUNTIF(Horse_Profile!$Q$2:$Q$41,"Sex/age mismatch")</f>
        <v>Horses with a sex/age mismatch flag: 17</v>
      </c>
    </row>
  </sheetData>
  <conditionalFormatting sqref="B6:F8">
    <cfRule type="colorScale" priority="2">
      <colorScale>
        <cfvo type="num" val="104"/>
        <cfvo type="num" val="113"/>
        <color rgb="FFEAF2FD"/>
        <color rgb="FF2A78D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AF7A"/>
    <pageSetUpPr fitToPage="false"/>
  </sheetPr>
  <dimension ref="A1:I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7" min="6" style="0" width="20"/>
    <col collapsed="false" customWidth="true" hidden="false" outlineLevel="0" max="8" min="8" style="0" width="8"/>
    <col collapsed="false" customWidth="true" hidden="false" outlineLevel="0" max="9" min="9" style="0" width="10"/>
  </cols>
  <sheetData>
    <row r="1" customFormat="false" ht="25.5" hidden="false" customHeight="true" outlineLevel="0" collapsed="false">
      <c r="A1" s="22" t="s">
        <v>534</v>
      </c>
    </row>
    <row r="2" customFormat="false" ht="15" hidden="false" customHeight="false" outlineLevel="0" collapsed="false">
      <c r="A2" s="2" t="s">
        <v>535</v>
      </c>
    </row>
    <row r="4" customFormat="false" ht="15" hidden="false" customHeight="false" outlineLevel="0" collapsed="false">
      <c r="A4" s="9" t="s">
        <v>28</v>
      </c>
      <c r="B4" s="9" t="s">
        <v>536</v>
      </c>
      <c r="C4" s="9" t="s">
        <v>482</v>
      </c>
      <c r="D4" s="9" t="s">
        <v>483</v>
      </c>
      <c r="E4" s="9" t="s">
        <v>484</v>
      </c>
      <c r="F4" s="9" t="s">
        <v>537</v>
      </c>
      <c r="G4" s="9" t="s">
        <v>538</v>
      </c>
      <c r="H4" s="9" t="s">
        <v>539</v>
      </c>
      <c r="I4" s="9" t="s">
        <v>540</v>
      </c>
    </row>
    <row r="5" customFormat="false" ht="15" hidden="false" customHeight="false" outlineLevel="0" collapsed="false">
      <c r="A5" s="10" t="s">
        <v>32</v>
      </c>
      <c r="B5" s="11" t="n">
        <f aca="false">AVERAGE(Horse_Summary!$I$2:$I$41)</f>
        <v>18.44</v>
      </c>
      <c r="C5" s="11" t="n">
        <f aca="false">STDEV(Horse_Summary!$I$2:$I$41)</f>
        <v>0.787480384597201</v>
      </c>
      <c r="D5" s="11" t="n">
        <f aca="false">MIN(Horse_Summary!$I$2:$I$41)</f>
        <v>16.8333333333333</v>
      </c>
      <c r="E5" s="11" t="n">
        <f aca="false">MAX(Horse_Summary!$I$2:$I$41)</f>
        <v>19.8</v>
      </c>
      <c r="F5" s="10" t="n">
        <f aca="false">COUNTIF(Horse_Summary!$T$2:$T$41,A5)</f>
        <v>10</v>
      </c>
      <c r="G5" s="10" t="n">
        <f aca="false">COUNTIF(Horse_Summary!$U$2:$U$41,A5)</f>
        <v>4</v>
      </c>
      <c r="H5" s="49" t="n">
        <f aca="false">F5-G5</f>
        <v>6</v>
      </c>
      <c r="I5" s="10" t="n">
        <f aca="false">RANK(B5,$B$5:$B$10,0)</f>
        <v>1</v>
      </c>
    </row>
    <row r="6" customFormat="false" ht="15" hidden="false" customHeight="false" outlineLevel="0" collapsed="false">
      <c r="A6" s="13" t="s">
        <v>33</v>
      </c>
      <c r="B6" s="14" t="n">
        <f aca="false">AVERAGE(Horse_Summary!$J$2:$J$41)</f>
        <v>18.355</v>
      </c>
      <c r="C6" s="14" t="n">
        <f aca="false">STDEV(Horse_Summary!$J$2:$J$41)</f>
        <v>0.915474749566594</v>
      </c>
      <c r="D6" s="14" t="n">
        <f aca="false">MIN(Horse_Summary!$J$2:$J$41)</f>
        <v>16.0333333333333</v>
      </c>
      <c r="E6" s="14" t="n">
        <f aca="false">MAX(Horse_Summary!$J$2:$J$41)</f>
        <v>19.7</v>
      </c>
      <c r="F6" s="13" t="n">
        <f aca="false">COUNTIF(Horse_Summary!$T$2:$T$41,A6)</f>
        <v>10</v>
      </c>
      <c r="G6" s="13" t="n">
        <f aca="false">COUNTIF(Horse_Summary!$U$2:$U$41,A6)</f>
        <v>9</v>
      </c>
      <c r="H6" s="50" t="n">
        <f aca="false">F6-G6</f>
        <v>1</v>
      </c>
      <c r="I6" s="13" t="n">
        <f aca="false">RANK(B6,$B$5:$B$10,0)</f>
        <v>2</v>
      </c>
    </row>
    <row r="7" customFormat="false" ht="15" hidden="false" customHeight="false" outlineLevel="0" collapsed="false">
      <c r="A7" s="10" t="s">
        <v>34</v>
      </c>
      <c r="B7" s="11" t="n">
        <f aca="false">AVERAGE(Horse_Summary!$K$2:$K$41)</f>
        <v>18.3016666666667</v>
      </c>
      <c r="C7" s="11" t="n">
        <f aca="false">STDEV(Horse_Summary!$K$2:$K$41)</f>
        <v>0.614077493555307</v>
      </c>
      <c r="D7" s="11" t="n">
        <f aca="false">MIN(Horse_Summary!$K$2:$K$41)</f>
        <v>16.6333333333333</v>
      </c>
      <c r="E7" s="11" t="n">
        <f aca="false">MAX(Horse_Summary!$K$2:$K$41)</f>
        <v>19.4666666666667</v>
      </c>
      <c r="F7" s="10" t="n">
        <f aca="false">COUNTIF(Horse_Summary!$T$2:$T$41,A7)</f>
        <v>6</v>
      </c>
      <c r="G7" s="10" t="n">
        <f aca="false">COUNTIF(Horse_Summary!$U$2:$U$41,A7)</f>
        <v>6</v>
      </c>
      <c r="H7" s="49" t="n">
        <f aca="false">F7-G7</f>
        <v>0</v>
      </c>
      <c r="I7" s="10" t="n">
        <f aca="false">RANK(B7,$B$5:$B$10,0)</f>
        <v>4</v>
      </c>
    </row>
    <row r="8" customFormat="false" ht="15" hidden="false" customHeight="false" outlineLevel="0" collapsed="false">
      <c r="A8" s="13" t="s">
        <v>35</v>
      </c>
      <c r="B8" s="14" t="n">
        <f aca="false">AVERAGE(Horse_Summary!$L$2:$L$41)</f>
        <v>18.125</v>
      </c>
      <c r="C8" s="14" t="n">
        <f aca="false">STDEV(Horse_Summary!$L$2:$L$41)</f>
        <v>0.618137538978193</v>
      </c>
      <c r="D8" s="14" t="n">
        <f aca="false">MIN(Horse_Summary!$L$2:$L$41)</f>
        <v>16.8333333333333</v>
      </c>
      <c r="E8" s="14" t="n">
        <f aca="false">MAX(Horse_Summary!$L$2:$L$41)</f>
        <v>19.3666666666667</v>
      </c>
      <c r="F8" s="13" t="n">
        <f aca="false">COUNTIF(Horse_Summary!$T$2:$T$41,A8)</f>
        <v>3</v>
      </c>
      <c r="G8" s="13" t="n">
        <f aca="false">COUNTIF(Horse_Summary!$U$2:$U$41,A8)</f>
        <v>12</v>
      </c>
      <c r="H8" s="50" t="n">
        <f aca="false">F8-G8</f>
        <v>-9</v>
      </c>
      <c r="I8" s="13" t="n">
        <f aca="false">RANK(B8,$B$5:$B$10,0)</f>
        <v>6</v>
      </c>
    </row>
    <row r="9" customFormat="false" ht="15" hidden="false" customHeight="false" outlineLevel="0" collapsed="false">
      <c r="A9" s="10" t="s">
        <v>36</v>
      </c>
      <c r="B9" s="11" t="n">
        <f aca="false">AVERAGE(Horse_Summary!$M$2:$M$41)</f>
        <v>18.33</v>
      </c>
      <c r="C9" s="11" t="n">
        <f aca="false">STDEV(Horse_Summary!$M$2:$M$41)</f>
        <v>0.916384571978754</v>
      </c>
      <c r="D9" s="11" t="n">
        <f aca="false">MIN(Horse_Summary!$M$2:$M$41)</f>
        <v>16.1333333333333</v>
      </c>
      <c r="E9" s="11" t="n">
        <f aca="false">MAX(Horse_Summary!$M$2:$M$41)</f>
        <v>19.9333333333333</v>
      </c>
      <c r="F9" s="10" t="n">
        <f aca="false">COUNTIF(Horse_Summary!$T$2:$T$41,A9)</f>
        <v>5</v>
      </c>
      <c r="G9" s="10" t="n">
        <f aca="false">COUNTIF(Horse_Summary!$U$2:$U$41,A9)</f>
        <v>5</v>
      </c>
      <c r="H9" s="49" t="n">
        <f aca="false">F9-G9</f>
        <v>0</v>
      </c>
      <c r="I9" s="10" t="n">
        <f aca="false">RANK(B9,$B$5:$B$10,0)</f>
        <v>3</v>
      </c>
    </row>
    <row r="10" customFormat="false" ht="15" hidden="false" customHeight="false" outlineLevel="0" collapsed="false">
      <c r="A10" s="13" t="s">
        <v>37</v>
      </c>
      <c r="B10" s="14" t="n">
        <f aca="false">AVERAGE(Horse_Summary!$N$2:$N$41)</f>
        <v>18.2908333333333</v>
      </c>
      <c r="C10" s="14" t="n">
        <f aca="false">STDEV(Horse_Summary!$N$2:$N$41)</f>
        <v>0.666324164155775</v>
      </c>
      <c r="D10" s="14" t="n">
        <f aca="false">MIN(Horse_Summary!$N$2:$N$41)</f>
        <v>16.7666666666667</v>
      </c>
      <c r="E10" s="14" t="n">
        <f aca="false">MAX(Horse_Summary!$N$2:$N$41)</f>
        <v>19.8</v>
      </c>
      <c r="F10" s="13" t="n">
        <f aca="false">COUNTIF(Horse_Summary!$T$2:$T$41,A10)</f>
        <v>6</v>
      </c>
      <c r="G10" s="13" t="n">
        <f aca="false">COUNTIF(Horse_Summary!$U$2:$U$41,A10)</f>
        <v>4</v>
      </c>
      <c r="H10" s="50" t="n">
        <f aca="false">F10-G10</f>
        <v>2</v>
      </c>
      <c r="I10" s="13" t="n">
        <f aca="false">RANK(B10,$B$5:$B$10,0)</f>
        <v>5</v>
      </c>
    </row>
    <row r="12" customFormat="false" ht="15" hidden="false" customHeight="false" outlineLevel="0" collapsed="false">
      <c r="A12" s="23" t="str">
        <f aca="false">"Herd strongest trait: "&amp;INDEX(A5:A10,MATCH(MAX(B5:B10),B5:B10,0))&amp;"   |   Herd weakest trait: "&amp;INDEX(A5:A10,MATCH(MIN(B5:B10),B5:B10,0))</f>
        <v>Herd strongest trait: Type   |   Herd weakest trait: Legs</v>
      </c>
    </row>
    <row r="14" customFormat="false" ht="15" hidden="false" customHeight="false" outlineLevel="0" collapsed="false">
      <c r="A14" s="8" t="s">
        <v>541</v>
      </c>
    </row>
    <row r="15" customFormat="false" ht="15" hidden="false" customHeight="false" outlineLevel="0" collapsed="false">
      <c r="A15" s="51" t="s">
        <v>542</v>
      </c>
      <c r="B15" s="52" t="n">
        <v>17.5</v>
      </c>
      <c r="C15" s="35" t="s">
        <v>543</v>
      </c>
    </row>
    <row r="16" customFormat="false" ht="23.85" hidden="false" customHeight="false" outlineLevel="0" collapsed="false">
      <c r="A16" s="9" t="s">
        <v>28</v>
      </c>
      <c r="B16" s="9" t="s">
        <v>544</v>
      </c>
      <c r="C16" s="9" t="s">
        <v>545</v>
      </c>
    </row>
    <row r="17" customFormat="false" ht="15" hidden="false" customHeight="false" outlineLevel="0" collapsed="false">
      <c r="A17" s="10" t="s">
        <v>32</v>
      </c>
      <c r="B17" s="10" t="n">
        <f aca="false">COUNTIF(Horse_Summary!$I$2:$I$41,"&lt;"&amp;$B$15)</f>
        <v>6</v>
      </c>
      <c r="C17" s="12" t="n">
        <f aca="false">B17/COUNTA(Horse_Summary!$A$2:$A$41)</f>
        <v>0.15</v>
      </c>
    </row>
    <row r="18" customFormat="false" ht="15" hidden="false" customHeight="false" outlineLevel="0" collapsed="false">
      <c r="A18" s="13" t="s">
        <v>33</v>
      </c>
      <c r="B18" s="13" t="n">
        <f aca="false">COUNTIF(Horse_Summary!$J$2:$J$41,"&lt;"&amp;$B$15)</f>
        <v>6</v>
      </c>
      <c r="C18" s="15" t="n">
        <f aca="false">B18/COUNTA(Horse_Summary!$A$2:$A$41)</f>
        <v>0.15</v>
      </c>
    </row>
    <row r="19" customFormat="false" ht="15" hidden="false" customHeight="false" outlineLevel="0" collapsed="false">
      <c r="A19" s="10" t="s">
        <v>34</v>
      </c>
      <c r="B19" s="10" t="n">
        <f aca="false">COUNTIF(Horse_Summary!$K$2:$K$41,"&lt;"&amp;$B$15)</f>
        <v>2</v>
      </c>
      <c r="C19" s="12" t="n">
        <f aca="false">B19/COUNTA(Horse_Summary!$A$2:$A$41)</f>
        <v>0.05</v>
      </c>
    </row>
    <row r="20" customFormat="false" ht="15" hidden="false" customHeight="false" outlineLevel="0" collapsed="false">
      <c r="A20" s="13" t="s">
        <v>35</v>
      </c>
      <c r="B20" s="13" t="n">
        <f aca="false">COUNTIF(Horse_Summary!$L$2:$L$41,"&lt;"&amp;$B$15)</f>
        <v>6</v>
      </c>
      <c r="C20" s="15" t="n">
        <f aca="false">B20/COUNTA(Horse_Summary!$A$2:$A$41)</f>
        <v>0.15</v>
      </c>
    </row>
    <row r="21" customFormat="false" ht="15" hidden="false" customHeight="false" outlineLevel="0" collapsed="false">
      <c r="A21" s="10" t="s">
        <v>36</v>
      </c>
      <c r="B21" s="10" t="n">
        <f aca="false">COUNTIF(Horse_Summary!$M$2:$M$41,"&lt;"&amp;$B$15)</f>
        <v>8</v>
      </c>
      <c r="C21" s="12" t="n">
        <f aca="false">B21/COUNTA(Horse_Summary!$A$2:$A$41)</f>
        <v>0.2</v>
      </c>
    </row>
    <row r="22" customFormat="false" ht="15" hidden="false" customHeight="false" outlineLevel="0" collapsed="false">
      <c r="A22" s="13" t="s">
        <v>37</v>
      </c>
      <c r="B22" s="13" t="n">
        <f aca="false">COUNTIF(Horse_Summary!$N$2:$N$41,"&lt;"&amp;$B$15)</f>
        <v>5</v>
      </c>
      <c r="C22" s="15" t="n">
        <f aca="false">B22/COUNTA(Horse_Summary!$A$2:$A$41)</f>
        <v>0.125</v>
      </c>
    </row>
    <row r="25" customFormat="false" ht="15" hidden="false" customHeight="false" outlineLevel="0" collapsed="false">
      <c r="A25" s="8" t="s">
        <v>546</v>
      </c>
    </row>
    <row r="26" customFormat="false" ht="23.85" hidden="false" customHeight="false" outlineLevel="0" collapsed="false">
      <c r="A26" s="9"/>
      <c r="B26" s="9" t="s">
        <v>32</v>
      </c>
      <c r="C26" s="9" t="s">
        <v>33</v>
      </c>
      <c r="D26" s="9" t="s">
        <v>34</v>
      </c>
      <c r="E26" s="9" t="s">
        <v>35</v>
      </c>
      <c r="F26" s="9" t="s">
        <v>36</v>
      </c>
      <c r="G26" s="9" t="s">
        <v>37</v>
      </c>
    </row>
    <row r="27" customFormat="false" ht="15" hidden="false" customHeight="false" outlineLevel="0" collapsed="false">
      <c r="A27" s="53" t="s">
        <v>32</v>
      </c>
      <c r="B27" s="11" t="n">
        <f aca="false">CORREL(Horse_Summary!$I$2:$I$41,Horse_Summary!$I$2:$I$41)</f>
        <v>1</v>
      </c>
      <c r="C27" s="11" t="n">
        <f aca="false">CORREL(Horse_Summary!$I$2:$I$41,Horse_Summary!$J$2:$J$41)</f>
        <v>0.428023195410119</v>
      </c>
      <c r="D27" s="11" t="n">
        <f aca="false">CORREL(Horse_Summary!$I$2:$I$41,Horse_Summary!$K$2:$K$41)</f>
        <v>0.13724967224441</v>
      </c>
      <c r="E27" s="11" t="n">
        <f aca="false">CORREL(Horse_Summary!$I$2:$I$41,Horse_Summary!$L$2:$L$41)</f>
        <v>0.386405714105651</v>
      </c>
      <c r="F27" s="11" t="n">
        <f aca="false">CORREL(Horse_Summary!$I$2:$I$41,Horse_Summary!$M$2:$M$41)</f>
        <v>0.372405422719379</v>
      </c>
      <c r="G27" s="11" t="n">
        <f aca="false">CORREL(Horse_Summary!$I$2:$I$41,Horse_Summary!$N$2:$N$41)</f>
        <v>0.508003930418183</v>
      </c>
    </row>
    <row r="28" customFormat="false" ht="15" hidden="false" customHeight="false" outlineLevel="0" collapsed="false">
      <c r="A28" s="53" t="s">
        <v>33</v>
      </c>
      <c r="B28" s="11" t="n">
        <f aca="false">CORREL(Horse_Summary!$J$2:$J$41,Horse_Summary!$I$2:$I$41)</f>
        <v>0.428023195410119</v>
      </c>
      <c r="C28" s="11" t="n">
        <f aca="false">CORREL(Horse_Summary!$J$2:$J$41,Horse_Summary!$J$2:$J$41)</f>
        <v>1</v>
      </c>
      <c r="D28" s="11" t="n">
        <f aca="false">CORREL(Horse_Summary!$J$2:$J$41,Horse_Summary!$K$2:$K$41)</f>
        <v>-0.140799940684322</v>
      </c>
      <c r="E28" s="11" t="n">
        <f aca="false">CORREL(Horse_Summary!$J$2:$J$41,Horse_Summary!$L$2:$L$41)</f>
        <v>0.0425671924142228</v>
      </c>
      <c r="F28" s="11" t="n">
        <f aca="false">CORREL(Horse_Summary!$J$2:$J$41,Horse_Summary!$M$2:$M$41)</f>
        <v>0.428019303514468</v>
      </c>
      <c r="G28" s="11" t="n">
        <f aca="false">CORREL(Horse_Summary!$J$2:$J$41,Horse_Summary!$N$2:$N$41)</f>
        <v>0.356924621733315</v>
      </c>
    </row>
    <row r="29" customFormat="false" ht="15" hidden="false" customHeight="false" outlineLevel="0" collapsed="false">
      <c r="A29" s="53" t="s">
        <v>34</v>
      </c>
      <c r="B29" s="11" t="n">
        <f aca="false">CORREL(Horse_Summary!$K$2:$K$41,Horse_Summary!$I$2:$I$41)</f>
        <v>0.13724967224441</v>
      </c>
      <c r="C29" s="11" t="n">
        <f aca="false">CORREL(Horse_Summary!$K$2:$K$41,Horse_Summary!$J$2:$J$41)</f>
        <v>-0.140799940684322</v>
      </c>
      <c r="D29" s="11" t="n">
        <f aca="false">CORREL(Horse_Summary!$K$2:$K$41,Horse_Summary!$K$2:$K$41)</f>
        <v>1</v>
      </c>
      <c r="E29" s="11" t="n">
        <f aca="false">CORREL(Horse_Summary!$K$2:$K$41,Horse_Summary!$L$2:$L$41)</f>
        <v>0.287501457729232</v>
      </c>
      <c r="F29" s="11" t="n">
        <f aca="false">CORREL(Horse_Summary!$K$2:$K$41,Horse_Summary!$M$2:$M$41)</f>
        <v>0.400478677835233</v>
      </c>
      <c r="G29" s="11" t="n">
        <f aca="false">CORREL(Horse_Summary!$K$2:$K$41,Horse_Summary!$N$2:$N$41)</f>
        <v>0.0211355900715231</v>
      </c>
    </row>
    <row r="30" customFormat="false" ht="15" hidden="false" customHeight="false" outlineLevel="0" collapsed="false">
      <c r="A30" s="53" t="s">
        <v>35</v>
      </c>
      <c r="B30" s="11" t="n">
        <f aca="false">CORREL(Horse_Summary!$L$2:$L$41,Horse_Summary!$I$2:$I$41)</f>
        <v>0.386405714105651</v>
      </c>
      <c r="C30" s="11" t="n">
        <f aca="false">CORREL(Horse_Summary!$L$2:$L$41,Horse_Summary!$J$2:$J$41)</f>
        <v>0.0425671924142228</v>
      </c>
      <c r="D30" s="11" t="n">
        <f aca="false">CORREL(Horse_Summary!$L$2:$L$41,Horse_Summary!$K$2:$K$41)</f>
        <v>0.287501457729232</v>
      </c>
      <c r="E30" s="11" t="n">
        <f aca="false">CORREL(Horse_Summary!$L$2:$L$41,Horse_Summary!$L$2:$L$41)</f>
        <v>1</v>
      </c>
      <c r="F30" s="11" t="n">
        <f aca="false">CORREL(Horse_Summary!$L$2:$L$41,Horse_Summary!$M$2:$M$41)</f>
        <v>0.243279818585692</v>
      </c>
      <c r="G30" s="11" t="n">
        <f aca="false">CORREL(Horse_Summary!$L$2:$L$41,Horse_Summary!$N$2:$N$41)</f>
        <v>0.184288050587323</v>
      </c>
    </row>
    <row r="31" customFormat="false" ht="15" hidden="false" customHeight="false" outlineLevel="0" collapsed="false">
      <c r="A31" s="53" t="s">
        <v>36</v>
      </c>
      <c r="B31" s="11" t="n">
        <f aca="false">CORREL(Horse_Summary!$M$2:$M$41,Horse_Summary!$I$2:$I$41)</f>
        <v>0.372405422719379</v>
      </c>
      <c r="C31" s="11" t="n">
        <f aca="false">CORREL(Horse_Summary!$M$2:$M$41,Horse_Summary!$J$2:$J$41)</f>
        <v>0.428019303514468</v>
      </c>
      <c r="D31" s="11" t="n">
        <f aca="false">CORREL(Horse_Summary!$M$2:$M$41,Horse_Summary!$K$2:$K$41)</f>
        <v>0.400478677835233</v>
      </c>
      <c r="E31" s="11" t="n">
        <f aca="false">CORREL(Horse_Summary!$M$2:$M$41,Horse_Summary!$L$2:$L$41)</f>
        <v>0.243279818585692</v>
      </c>
      <c r="F31" s="11" t="n">
        <f aca="false">CORREL(Horse_Summary!$M$2:$M$41,Horse_Summary!$M$2:$M$41)</f>
        <v>1</v>
      </c>
      <c r="G31" s="11" t="n">
        <f aca="false">CORREL(Horse_Summary!$M$2:$M$41,Horse_Summary!$N$2:$N$41)</f>
        <v>0.417961001752288</v>
      </c>
    </row>
    <row r="32" customFormat="false" ht="15" hidden="false" customHeight="false" outlineLevel="0" collapsed="false">
      <c r="A32" s="53" t="s">
        <v>37</v>
      </c>
      <c r="B32" s="11" t="n">
        <f aca="false">CORREL(Horse_Summary!$N$2:$N$41,Horse_Summary!$I$2:$I$41)</f>
        <v>0.508003930418183</v>
      </c>
      <c r="C32" s="11" t="n">
        <f aca="false">CORREL(Horse_Summary!$N$2:$N$41,Horse_Summary!$J$2:$J$41)</f>
        <v>0.356924621733315</v>
      </c>
      <c r="D32" s="11" t="n">
        <f aca="false">CORREL(Horse_Summary!$N$2:$N$41,Horse_Summary!$K$2:$K$41)</f>
        <v>0.0211355900715231</v>
      </c>
      <c r="E32" s="11" t="n">
        <f aca="false">CORREL(Horse_Summary!$N$2:$N$41,Horse_Summary!$L$2:$L$41)</f>
        <v>0.184288050587323</v>
      </c>
      <c r="F32" s="11" t="n">
        <f aca="false">CORREL(Horse_Summary!$N$2:$N$41,Horse_Summary!$M$2:$M$41)</f>
        <v>0.417961001752288</v>
      </c>
      <c r="G32" s="11" t="n">
        <f aca="false">CORREL(Horse_Summary!$N$2:$N$41,Horse_Summary!$N$2:$N$41)</f>
        <v>1</v>
      </c>
    </row>
  </sheetData>
  <conditionalFormatting sqref="H5:H10">
    <cfRule type="colorScale" priority="2">
      <colorScale>
        <cfvo type="num" val="-9"/>
        <cfvo type="num" val="0"/>
        <cfvo type="num" val="9"/>
        <color rgb="FFE34948"/>
        <color rgb="FFF7F6F3"/>
        <color rgb="FF2A78D6"/>
      </colorScale>
    </cfRule>
  </conditionalFormatting>
  <conditionalFormatting sqref="B27:G32">
    <cfRule type="colorScale" priority="3">
      <colorScale>
        <cfvo type="num" val="-0.6"/>
        <cfvo type="num" val="0"/>
        <cfvo type="num" val="1"/>
        <color rgb="FFE34948"/>
        <color rgb="FFF7F6F3"/>
        <color rgb="FF2A78D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3AA7"/>
    <pageSetUpPr fitToPage="false"/>
  </sheetPr>
  <dimension ref="A1:J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0" min="2" style="0" width="13"/>
  </cols>
  <sheetData>
    <row r="1" customFormat="false" ht="25.5" hidden="false" customHeight="true" outlineLevel="0" collapsed="false">
      <c r="A1" s="22" t="s">
        <v>547</v>
      </c>
    </row>
    <row r="2" customFormat="false" ht="15" hidden="false" customHeight="false" outlineLevel="0" collapsed="false">
      <c r="A2" s="2" t="s">
        <v>548</v>
      </c>
    </row>
    <row r="4" customFormat="false" ht="15" hidden="false" customHeight="false" outlineLevel="0" collapsed="false">
      <c r="A4" s="9" t="s">
        <v>317</v>
      </c>
      <c r="B4" s="9" t="s">
        <v>32</v>
      </c>
      <c r="C4" s="9" t="s">
        <v>33</v>
      </c>
      <c r="D4" s="9" t="s">
        <v>34</v>
      </c>
      <c r="E4" s="9" t="s">
        <v>35</v>
      </c>
      <c r="F4" s="9" t="s">
        <v>36</v>
      </c>
      <c r="G4" s="9" t="s">
        <v>37</v>
      </c>
      <c r="H4" s="9" t="s">
        <v>15</v>
      </c>
      <c r="I4" s="9" t="s">
        <v>549</v>
      </c>
      <c r="J4" s="9" t="s">
        <v>550</v>
      </c>
    </row>
    <row r="5" customFormat="false" ht="15" hidden="false" customHeight="false" outlineLevel="0" collapsed="false">
      <c r="A5" s="10" t="s">
        <v>321</v>
      </c>
      <c r="B5" s="11" t="n">
        <f aca="false">AVERAGEIF(Judge_Scores!$D$2:$D$121,$A5,Judge_Scores!$E$2:$E$121)</f>
        <v>18.7125</v>
      </c>
      <c r="C5" s="11" t="n">
        <f aca="false">AVERAGEIF(Judge_Scores!$D$2:$D$121,$A5,Judge_Scores!$F$2:$F$121)</f>
        <v>18.695</v>
      </c>
      <c r="D5" s="11" t="n">
        <f aca="false">AVERAGEIF(Judge_Scores!$D$2:$D$121,$A5,Judge_Scores!$G$2:$G$121)</f>
        <v>18.295</v>
      </c>
      <c r="E5" s="11" t="n">
        <f aca="false">AVERAGEIF(Judge_Scores!$D$2:$D$121,$A5,Judge_Scores!$H$2:$H$121)</f>
        <v>18.33</v>
      </c>
      <c r="F5" s="11" t="n">
        <f aca="false">AVERAGEIF(Judge_Scores!$D$2:$D$121,$A5,Judge_Scores!$I$2:$I$121)</f>
        <v>18.4625</v>
      </c>
      <c r="G5" s="11" t="n">
        <f aca="false">AVERAGEIF(Judge_Scores!$D$2:$D$121,$A5,Judge_Scores!$J$2:$J$121)</f>
        <v>18.3925</v>
      </c>
      <c r="H5" s="11" t="n">
        <f aca="false">AVERAGEIF(Judge_Scores!$D$2:$D$121,$A5,Judge_Scores!$K$2:$K$121)</f>
        <v>110.8875</v>
      </c>
      <c r="I5" s="20" t="n">
        <f aca="false">H5-$H$8</f>
        <v>1.045</v>
      </c>
      <c r="J5" s="10" t="n">
        <f aca="false">COUNTIF(Judge_Scores!$D$2:$D$121,A5)</f>
        <v>40</v>
      </c>
    </row>
    <row r="6" customFormat="false" ht="15" hidden="false" customHeight="false" outlineLevel="0" collapsed="false">
      <c r="A6" s="13" t="s">
        <v>324</v>
      </c>
      <c r="B6" s="14" t="n">
        <f aca="false">AVERAGEIF(Judge_Scores!$D$2:$D$121,$A6,Judge_Scores!$E$2:$E$121)</f>
        <v>18.34</v>
      </c>
      <c r="C6" s="14" t="n">
        <f aca="false">AVERAGEIF(Judge_Scores!$D$2:$D$121,$A6,Judge_Scores!$F$2:$F$121)</f>
        <v>18.29</v>
      </c>
      <c r="D6" s="14" t="n">
        <f aca="false">AVERAGEIF(Judge_Scores!$D$2:$D$121,$A6,Judge_Scores!$G$2:$G$121)</f>
        <v>18.46</v>
      </c>
      <c r="E6" s="14" t="n">
        <f aca="false">AVERAGEIF(Judge_Scores!$D$2:$D$121,$A6,Judge_Scores!$H$2:$H$121)</f>
        <v>18.1175</v>
      </c>
      <c r="F6" s="14" t="n">
        <f aca="false">AVERAGEIF(Judge_Scores!$D$2:$D$121,$A6,Judge_Scores!$I$2:$I$121)</f>
        <v>18.1725</v>
      </c>
      <c r="G6" s="14" t="n">
        <f aca="false">AVERAGEIF(Judge_Scores!$D$2:$D$121,$A6,Judge_Scores!$J$2:$J$121)</f>
        <v>18.2625</v>
      </c>
      <c r="H6" s="14" t="n">
        <f aca="false">AVERAGEIF(Judge_Scores!$D$2:$D$121,$A6,Judge_Scores!$K$2:$K$121)</f>
        <v>109.6425</v>
      </c>
      <c r="I6" s="21" t="n">
        <f aca="false">H6-$H$8</f>
        <v>-0.200000000000003</v>
      </c>
      <c r="J6" s="13" t="n">
        <f aca="false">COUNTIF(Judge_Scores!$D$2:$D$121,A6)</f>
        <v>40</v>
      </c>
    </row>
    <row r="7" customFormat="false" ht="15" hidden="false" customHeight="false" outlineLevel="0" collapsed="false">
      <c r="A7" s="10" t="s">
        <v>327</v>
      </c>
      <c r="B7" s="11" t="n">
        <f aca="false">AVERAGEIF(Judge_Scores!$D$2:$D$121,$A7,Judge_Scores!$E$2:$E$121)</f>
        <v>18.2675</v>
      </c>
      <c r="C7" s="11" t="n">
        <f aca="false">AVERAGEIF(Judge_Scores!$D$2:$D$121,$A7,Judge_Scores!$F$2:$F$121)</f>
        <v>18.08</v>
      </c>
      <c r="D7" s="11" t="n">
        <f aca="false">AVERAGEIF(Judge_Scores!$D$2:$D$121,$A7,Judge_Scores!$G$2:$G$121)</f>
        <v>18.15</v>
      </c>
      <c r="E7" s="11" t="n">
        <f aca="false">AVERAGEIF(Judge_Scores!$D$2:$D$121,$A7,Judge_Scores!$H$2:$H$121)</f>
        <v>17.9275</v>
      </c>
      <c r="F7" s="11" t="n">
        <f aca="false">AVERAGEIF(Judge_Scores!$D$2:$D$121,$A7,Judge_Scores!$I$2:$I$121)</f>
        <v>18.355</v>
      </c>
      <c r="G7" s="11" t="n">
        <f aca="false">AVERAGEIF(Judge_Scores!$D$2:$D$121,$A7,Judge_Scores!$J$2:$J$121)</f>
        <v>18.2175</v>
      </c>
      <c r="H7" s="11" t="n">
        <f aca="false">AVERAGEIF(Judge_Scores!$D$2:$D$121,$A7,Judge_Scores!$K$2:$K$121)</f>
        <v>108.9975</v>
      </c>
      <c r="I7" s="20" t="n">
        <f aca="false">H7-$H$8</f>
        <v>-0.845000000000013</v>
      </c>
      <c r="J7" s="10" t="n">
        <f aca="false">COUNTIF(Judge_Scores!$D$2:$D$121,A7)</f>
        <v>40</v>
      </c>
    </row>
    <row r="8" customFormat="false" ht="15" hidden="false" customHeight="false" outlineLevel="0" collapsed="false">
      <c r="A8" s="30" t="s">
        <v>551</v>
      </c>
      <c r="B8" s="31" t="n">
        <f aca="false">AVERAGE(Judge_Scores!$E$2:$E$121)</f>
        <v>18.44</v>
      </c>
      <c r="C8" s="31" t="n">
        <f aca="false">AVERAGE(Judge_Scores!$F$2:$F$121)</f>
        <v>18.355</v>
      </c>
      <c r="D8" s="31" t="n">
        <f aca="false">AVERAGE(Judge_Scores!$G$2:$G$121)</f>
        <v>18.3016666666667</v>
      </c>
      <c r="E8" s="31" t="n">
        <f aca="false">AVERAGE(Judge_Scores!$H$2:$H$121)</f>
        <v>18.125</v>
      </c>
      <c r="F8" s="31" t="n">
        <f aca="false">AVERAGE(Judge_Scores!$I$2:$I$121)</f>
        <v>18.33</v>
      </c>
      <c r="G8" s="31" t="n">
        <f aca="false">AVERAGE(Judge_Scores!$J$2:$J$121)</f>
        <v>18.2908333333333</v>
      </c>
      <c r="H8" s="31" t="n">
        <f aca="false">AVERAGE(Judge_Scores!$K$2:$K$121)</f>
        <v>109.8425</v>
      </c>
      <c r="I8" s="34" t="n">
        <f aca="false">H8-$H$8</f>
        <v>0</v>
      </c>
      <c r="J8" s="30" t="n">
        <f aca="false">COUNTA(Judge_Scores!$A$2:$A$121)</f>
        <v>120</v>
      </c>
    </row>
    <row r="11" customFormat="false" ht="15" hidden="false" customHeight="false" outlineLevel="0" collapsed="false">
      <c r="A11" s="8" t="s">
        <v>552</v>
      </c>
    </row>
    <row r="12" customFormat="false" ht="15" hidden="false" customHeight="false" outlineLevel="0" collapsed="false">
      <c r="A12" s="9" t="s">
        <v>317</v>
      </c>
      <c r="B12" s="9" t="s">
        <v>32</v>
      </c>
      <c r="C12" s="9" t="s">
        <v>33</v>
      </c>
      <c r="D12" s="9" t="s">
        <v>34</v>
      </c>
      <c r="E12" s="9" t="s">
        <v>35</v>
      </c>
      <c r="F12" s="9" t="s">
        <v>36</v>
      </c>
      <c r="G12" s="9" t="s">
        <v>37</v>
      </c>
    </row>
    <row r="13" customFormat="false" ht="15" hidden="false" customHeight="false" outlineLevel="0" collapsed="false">
      <c r="A13" s="10" t="s">
        <v>321</v>
      </c>
      <c r="B13" s="20" t="n">
        <f aca="false">B5-B$8</f>
        <v>0.272499999999997</v>
      </c>
      <c r="C13" s="20" t="n">
        <f aca="false">C5-C$8</f>
        <v>0.34</v>
      </c>
      <c r="D13" s="20" t="n">
        <f aca="false">D5-D$8</f>
        <v>-0.00666666666666771</v>
      </c>
      <c r="E13" s="20" t="n">
        <f aca="false">E5-E$8</f>
        <v>0.205000000000002</v>
      </c>
      <c r="F13" s="20" t="n">
        <f aca="false">F5-F$8</f>
        <v>0.1325</v>
      </c>
      <c r="G13" s="20" t="n">
        <f aca="false">G5-G$8</f>
        <v>0.101666666666667</v>
      </c>
    </row>
    <row r="14" customFormat="false" ht="15" hidden="false" customHeight="false" outlineLevel="0" collapsed="false">
      <c r="A14" s="10" t="s">
        <v>324</v>
      </c>
      <c r="B14" s="20" t="n">
        <f aca="false">B6-B$8</f>
        <v>-0.100000000000001</v>
      </c>
      <c r="C14" s="20" t="n">
        <f aca="false">C6-C$8</f>
        <v>-0.0650000000000013</v>
      </c>
      <c r="D14" s="20" t="n">
        <f aca="false">D6-D$8</f>
        <v>0.158333333333335</v>
      </c>
      <c r="E14" s="20" t="n">
        <f aca="false">E6-E$8</f>
        <v>-0.00750000000000028</v>
      </c>
      <c r="F14" s="20" t="n">
        <f aca="false">F6-F$8</f>
        <v>-0.157499999999999</v>
      </c>
      <c r="G14" s="20" t="n">
        <f aca="false">G6-G$8</f>
        <v>-0.028333333333336</v>
      </c>
    </row>
    <row r="15" customFormat="false" ht="15" hidden="false" customHeight="false" outlineLevel="0" collapsed="false">
      <c r="A15" s="10" t="s">
        <v>327</v>
      </c>
      <c r="B15" s="20" t="n">
        <f aca="false">B7-B$8</f>
        <v>-0.172499999999999</v>
      </c>
      <c r="C15" s="20" t="n">
        <f aca="false">C7-C$8</f>
        <v>-0.274999999999999</v>
      </c>
      <c r="D15" s="20" t="n">
        <f aca="false">D7-D$8</f>
        <v>-0.151666666666667</v>
      </c>
      <c r="E15" s="20" t="n">
        <f aca="false">E7-E$8</f>
        <v>-0.197499999999998</v>
      </c>
      <c r="F15" s="20" t="n">
        <f aca="false">F7-F$8</f>
        <v>0.0250000000000021</v>
      </c>
      <c r="G15" s="20" t="n">
        <f aca="false">G7-G$8</f>
        <v>-0.0733333333333341</v>
      </c>
    </row>
    <row r="18" customFormat="false" ht="15" hidden="false" customHeight="false" outlineLevel="0" collapsed="false">
      <c r="A18" s="8" t="s">
        <v>553</v>
      </c>
    </row>
    <row r="19" customFormat="false" ht="15" hidden="false" customHeight="false" outlineLevel="0" collapsed="false">
      <c r="A19" s="9" t="s">
        <v>554</v>
      </c>
      <c r="B19" s="9" t="s">
        <v>505</v>
      </c>
      <c r="C19" s="9" t="s">
        <v>508</v>
      </c>
    </row>
    <row r="20" customFormat="false" ht="15" hidden="false" customHeight="false" outlineLevel="0" collapsed="false">
      <c r="A20" s="10" t="s">
        <v>555</v>
      </c>
      <c r="B20" s="11" t="n">
        <f aca="false">CORREL($B$31:$B$70,$C$31:$C$70)</f>
        <v>0.556274499143794</v>
      </c>
      <c r="C20" s="10" t="str">
        <f aca="false">IF(B20&gt;=0.7,"Strong",IF(B20&gt;=0.4,"Moderate","Weak"))</f>
        <v>Moderate</v>
      </c>
    </row>
    <row r="21" customFormat="false" ht="15" hidden="false" customHeight="false" outlineLevel="0" collapsed="false">
      <c r="A21" s="13" t="s">
        <v>556</v>
      </c>
      <c r="B21" s="14" t="n">
        <f aca="false">CORREL($B$31:$B$70,$D$31:$D$70)</f>
        <v>0.498537599054727</v>
      </c>
      <c r="C21" s="13" t="str">
        <f aca="false">IF(B21&gt;=0.7,"Strong",IF(B21&gt;=0.4,"Moderate","Weak"))</f>
        <v>Moderate</v>
      </c>
    </row>
    <row r="22" customFormat="false" ht="15" hidden="false" customHeight="false" outlineLevel="0" collapsed="false">
      <c r="A22" s="10" t="s">
        <v>557</v>
      </c>
      <c r="B22" s="11" t="n">
        <f aca="false">CORREL($C$31:$C$70,$D$31:$D$70)</f>
        <v>0.458356233455233</v>
      </c>
      <c r="C22" s="10" t="str">
        <f aca="false">IF(B22&gt;=0.7,"Strong",IF(B22&gt;=0.4,"Moderate","Weak"))</f>
        <v>Moderate</v>
      </c>
    </row>
    <row r="23" customFormat="false" ht="15" hidden="false" customHeight="false" outlineLevel="0" collapsed="false">
      <c r="A23" s="13" t="s">
        <v>558</v>
      </c>
      <c r="B23" s="14" t="n">
        <f aca="false">AVERAGE(Horse_Summary!$P$2:$P$41)</f>
        <v>4.51</v>
      </c>
      <c r="C23" s="13"/>
    </row>
    <row r="24" customFormat="false" ht="15" hidden="false" customHeight="false" outlineLevel="0" collapsed="false">
      <c r="A24" s="10" t="s">
        <v>559</v>
      </c>
      <c r="B24" s="11" t="n">
        <f aca="false">MAX(Horse_Summary!$P$2:$P$41)</f>
        <v>9</v>
      </c>
      <c r="C24" s="10"/>
    </row>
    <row r="25" customFormat="false" ht="15" hidden="false" customHeight="false" outlineLevel="0" collapsed="false">
      <c r="A25" s="13" t="s">
        <v>560</v>
      </c>
      <c r="B25" s="14" t="str">
        <f aca="false">INDEX(Horse_Summary!$B$2:$B$41,MATCH(B24,Horse_Summary!$P$2:$P$41,0))</f>
        <v>HA Aziza Royal Flame</v>
      </c>
      <c r="C25" s="13"/>
    </row>
    <row r="29" customFormat="false" ht="15" hidden="false" customHeight="false" outlineLevel="0" collapsed="false">
      <c r="A29" s="8" t="s">
        <v>561</v>
      </c>
    </row>
    <row r="30" customFormat="false" ht="15" hidden="false" customHeight="false" outlineLevel="0" collapsed="false">
      <c r="A30" s="9" t="s">
        <v>90</v>
      </c>
      <c r="B30" s="9" t="s">
        <v>321</v>
      </c>
      <c r="C30" s="9" t="s">
        <v>324</v>
      </c>
      <c r="D30" s="9" t="s">
        <v>327</v>
      </c>
      <c r="E30" s="9" t="s">
        <v>562</v>
      </c>
    </row>
    <row r="31" customFormat="false" ht="15" hidden="false" customHeight="false" outlineLevel="0" collapsed="false">
      <c r="A31" s="10" t="str">
        <f aca="false">Horse_Summary!A2</f>
        <v>HA-001</v>
      </c>
      <c r="B31" s="28" t="n">
        <f aca="false">SUMIFS(Judge_Scores!$K$2:$K$121,Judge_Scores!$B$2:$B$121,$A31,Judge_Scores!$D$2:$D$121,"Judge A")</f>
        <v>114.5</v>
      </c>
      <c r="C31" s="28" t="n">
        <f aca="false">SUMIFS(Judge_Scores!$K$2:$K$121,Judge_Scores!$B$2:$B$121,$A31,Judge_Scores!$D$2:$D$121,"Judge B")</f>
        <v>112.7</v>
      </c>
      <c r="D31" s="28" t="n">
        <f aca="false">SUMIFS(Judge_Scores!$K$2:$K$121,Judge_Scores!$B$2:$B$121,$A31,Judge_Scores!$D$2:$D$121,"Judge C")</f>
        <v>113.1</v>
      </c>
      <c r="E31" s="28" t="n">
        <f aca="false">MAX(B31:D31)-MIN(B31:D31)</f>
        <v>1.80000000000001</v>
      </c>
    </row>
    <row r="32" customFormat="false" ht="15" hidden="false" customHeight="false" outlineLevel="0" collapsed="false">
      <c r="A32" s="13" t="str">
        <f aca="false">Horse_Summary!A3</f>
        <v>HA-002</v>
      </c>
      <c r="B32" s="29" t="n">
        <f aca="false">SUMIFS(Judge_Scores!$K$2:$K$121,Judge_Scores!$B$2:$B$121,$A32,Judge_Scores!$D$2:$D$121,"Judge A")</f>
        <v>114</v>
      </c>
      <c r="C32" s="29" t="n">
        <f aca="false">SUMIFS(Judge_Scores!$K$2:$K$121,Judge_Scores!$B$2:$B$121,$A32,Judge_Scores!$D$2:$D$121,"Judge B")</f>
        <v>111.1</v>
      </c>
      <c r="D32" s="29" t="n">
        <f aca="false">SUMIFS(Judge_Scores!$K$2:$K$121,Judge_Scores!$B$2:$B$121,$A32,Judge_Scores!$D$2:$D$121,"Judge C")</f>
        <v>106</v>
      </c>
      <c r="E32" s="29" t="n">
        <f aca="false">MAX(B32:D32)-MIN(B32:D32)</f>
        <v>8</v>
      </c>
    </row>
    <row r="33" customFormat="false" ht="15" hidden="false" customHeight="false" outlineLevel="0" collapsed="false">
      <c r="A33" s="10" t="str">
        <f aca="false">Horse_Summary!A4</f>
        <v>HA-003</v>
      </c>
      <c r="B33" s="28" t="n">
        <f aca="false">SUMIFS(Judge_Scores!$K$2:$K$121,Judge_Scores!$B$2:$B$121,$A33,Judge_Scores!$D$2:$D$121,"Judge A")</f>
        <v>104.9</v>
      </c>
      <c r="C33" s="28" t="n">
        <f aca="false">SUMIFS(Judge_Scores!$K$2:$K$121,Judge_Scores!$B$2:$B$121,$A33,Judge_Scores!$D$2:$D$121,"Judge B")</f>
        <v>110.3</v>
      </c>
      <c r="D33" s="28" t="n">
        <f aca="false">SUMIFS(Judge_Scores!$K$2:$K$121,Judge_Scores!$B$2:$B$121,$A33,Judge_Scores!$D$2:$D$121,"Judge C")</f>
        <v>108</v>
      </c>
      <c r="E33" s="28" t="n">
        <f aca="false">MAX(B33:D33)-MIN(B33:D33)</f>
        <v>5.39999999999999</v>
      </c>
    </row>
    <row r="34" customFormat="false" ht="15" hidden="false" customHeight="false" outlineLevel="0" collapsed="false">
      <c r="A34" s="13" t="str">
        <f aca="false">Horse_Summary!A5</f>
        <v>HA-004</v>
      </c>
      <c r="B34" s="29" t="n">
        <f aca="false">SUMIFS(Judge_Scores!$K$2:$K$121,Judge_Scores!$B$2:$B$121,$A34,Judge_Scores!$D$2:$D$121,"Judge A")</f>
        <v>109</v>
      </c>
      <c r="C34" s="29" t="n">
        <f aca="false">SUMIFS(Judge_Scores!$K$2:$K$121,Judge_Scores!$B$2:$B$121,$A34,Judge_Scores!$D$2:$D$121,"Judge B")</f>
        <v>116.8</v>
      </c>
      <c r="D34" s="29" t="n">
        <f aca="false">SUMIFS(Judge_Scores!$K$2:$K$121,Judge_Scores!$B$2:$B$121,$A34,Judge_Scores!$D$2:$D$121,"Judge C")</f>
        <v>110.6</v>
      </c>
      <c r="E34" s="29" t="n">
        <f aca="false">MAX(B34:D34)-MIN(B34:D34)</f>
        <v>7.80000000000001</v>
      </c>
    </row>
    <row r="35" customFormat="false" ht="15" hidden="false" customHeight="false" outlineLevel="0" collapsed="false">
      <c r="A35" s="10" t="str">
        <f aca="false">Horse_Summary!A6</f>
        <v>HA-005</v>
      </c>
      <c r="B35" s="28" t="n">
        <f aca="false">SUMIFS(Judge_Scores!$K$2:$K$121,Judge_Scores!$B$2:$B$121,$A35,Judge_Scores!$D$2:$D$121,"Judge A")</f>
        <v>109.6</v>
      </c>
      <c r="C35" s="28" t="n">
        <f aca="false">SUMIFS(Judge_Scores!$K$2:$K$121,Judge_Scores!$B$2:$B$121,$A35,Judge_Scores!$D$2:$D$121,"Judge B")</f>
        <v>110</v>
      </c>
      <c r="D35" s="28" t="n">
        <f aca="false">SUMIFS(Judge_Scores!$K$2:$K$121,Judge_Scores!$B$2:$B$121,$A35,Judge_Scores!$D$2:$D$121,"Judge C")</f>
        <v>105.9</v>
      </c>
      <c r="E35" s="28" t="n">
        <f aca="false">MAX(B35:D35)-MIN(B35:D35)</f>
        <v>4.09999999999999</v>
      </c>
    </row>
    <row r="36" customFormat="false" ht="15" hidden="false" customHeight="false" outlineLevel="0" collapsed="false">
      <c r="A36" s="13" t="str">
        <f aca="false">Horse_Summary!A7</f>
        <v>HA-006</v>
      </c>
      <c r="B36" s="29" t="n">
        <f aca="false">SUMIFS(Judge_Scores!$K$2:$K$121,Judge_Scores!$B$2:$B$121,$A36,Judge_Scores!$D$2:$D$121,"Judge A")</f>
        <v>113.7</v>
      </c>
      <c r="C36" s="29" t="n">
        <f aca="false">SUMIFS(Judge_Scores!$K$2:$K$121,Judge_Scores!$B$2:$B$121,$A36,Judge_Scores!$D$2:$D$121,"Judge B")</f>
        <v>110.2</v>
      </c>
      <c r="D36" s="29" t="n">
        <f aca="false">SUMIFS(Judge_Scores!$K$2:$K$121,Judge_Scores!$B$2:$B$121,$A36,Judge_Scores!$D$2:$D$121,"Judge C")</f>
        <v>110.4</v>
      </c>
      <c r="E36" s="29" t="n">
        <f aca="false">MAX(B36:D36)-MIN(B36:D36)</f>
        <v>3.49999999999997</v>
      </c>
    </row>
    <row r="37" customFormat="false" ht="15" hidden="false" customHeight="false" outlineLevel="0" collapsed="false">
      <c r="A37" s="10" t="str">
        <f aca="false">Horse_Summary!A8</f>
        <v>HA-007</v>
      </c>
      <c r="B37" s="28" t="n">
        <f aca="false">SUMIFS(Judge_Scores!$K$2:$K$121,Judge_Scores!$B$2:$B$121,$A37,Judge_Scores!$D$2:$D$121,"Judge A")</f>
        <v>100.2</v>
      </c>
      <c r="C37" s="28" t="n">
        <f aca="false">SUMIFS(Judge_Scores!$K$2:$K$121,Judge_Scores!$B$2:$B$121,$A37,Judge_Scores!$D$2:$D$121,"Judge B")</f>
        <v>101.1</v>
      </c>
      <c r="D37" s="28" t="n">
        <f aca="false">SUMIFS(Judge_Scores!$K$2:$K$121,Judge_Scores!$B$2:$B$121,$A37,Judge_Scores!$D$2:$D$121,"Judge C")</f>
        <v>109.1</v>
      </c>
      <c r="E37" s="28" t="n">
        <f aca="false">MAX(B37:D37)-MIN(B37:D37)</f>
        <v>8.90000000000001</v>
      </c>
    </row>
    <row r="38" customFormat="false" ht="15" hidden="false" customHeight="false" outlineLevel="0" collapsed="false">
      <c r="A38" s="13" t="str">
        <f aca="false">Horse_Summary!A9</f>
        <v>HA-008</v>
      </c>
      <c r="B38" s="29" t="n">
        <f aca="false">SUMIFS(Judge_Scores!$K$2:$K$121,Judge_Scores!$B$2:$B$121,$A38,Judge_Scores!$D$2:$D$121,"Judge A")</f>
        <v>103</v>
      </c>
      <c r="C38" s="29" t="n">
        <f aca="false">SUMIFS(Judge_Scores!$K$2:$K$121,Judge_Scores!$B$2:$B$121,$A38,Judge_Scores!$D$2:$D$121,"Judge B")</f>
        <v>108</v>
      </c>
      <c r="D38" s="29" t="n">
        <f aca="false">SUMIFS(Judge_Scores!$K$2:$K$121,Judge_Scores!$B$2:$B$121,$A38,Judge_Scores!$D$2:$D$121,"Judge C")</f>
        <v>106.4</v>
      </c>
      <c r="E38" s="29" t="n">
        <f aca="false">MAX(B38:D38)-MIN(B38:D38)</f>
        <v>5</v>
      </c>
    </row>
    <row r="39" customFormat="false" ht="15" hidden="false" customHeight="false" outlineLevel="0" collapsed="false">
      <c r="A39" s="10" t="str">
        <f aca="false">Horse_Summary!A10</f>
        <v>HA-009</v>
      </c>
      <c r="B39" s="28" t="n">
        <f aca="false">SUMIFS(Judge_Scores!$K$2:$K$121,Judge_Scores!$B$2:$B$121,$A39,Judge_Scores!$D$2:$D$121,"Judge A")</f>
        <v>116.5</v>
      </c>
      <c r="C39" s="28" t="n">
        <f aca="false">SUMIFS(Judge_Scores!$K$2:$K$121,Judge_Scores!$B$2:$B$121,$A39,Judge_Scores!$D$2:$D$121,"Judge B")</f>
        <v>114.5</v>
      </c>
      <c r="D39" s="28" t="n">
        <f aca="false">SUMIFS(Judge_Scores!$K$2:$K$121,Judge_Scores!$B$2:$B$121,$A39,Judge_Scores!$D$2:$D$121,"Judge C")</f>
        <v>110.6</v>
      </c>
      <c r="E39" s="28" t="n">
        <f aca="false">MAX(B39:D39)-MIN(B39:D39)</f>
        <v>5.90000000000001</v>
      </c>
    </row>
    <row r="40" customFormat="false" ht="15" hidden="false" customHeight="false" outlineLevel="0" collapsed="false">
      <c r="A40" s="13" t="str">
        <f aca="false">Horse_Summary!A11</f>
        <v>HA-010</v>
      </c>
      <c r="B40" s="29" t="n">
        <f aca="false">SUMIFS(Judge_Scores!$K$2:$K$121,Judge_Scores!$B$2:$B$121,$A40,Judge_Scores!$D$2:$D$121,"Judge A")</f>
        <v>103.6</v>
      </c>
      <c r="C40" s="29" t="n">
        <f aca="false">SUMIFS(Judge_Scores!$K$2:$K$121,Judge_Scores!$B$2:$B$121,$A40,Judge_Scores!$D$2:$D$121,"Judge B")</f>
        <v>107.9</v>
      </c>
      <c r="D40" s="29" t="n">
        <f aca="false">SUMIFS(Judge_Scores!$K$2:$K$121,Judge_Scores!$B$2:$B$121,$A40,Judge_Scores!$D$2:$D$121,"Judge C")</f>
        <v>102.4</v>
      </c>
      <c r="E40" s="29" t="n">
        <f aca="false">MAX(B40:D40)-MIN(B40:D40)</f>
        <v>5.5</v>
      </c>
    </row>
    <row r="41" customFormat="false" ht="15" hidden="false" customHeight="false" outlineLevel="0" collapsed="false">
      <c r="A41" s="10" t="str">
        <f aca="false">Horse_Summary!A12</f>
        <v>HA-011</v>
      </c>
      <c r="B41" s="28" t="n">
        <f aca="false">SUMIFS(Judge_Scores!$K$2:$K$121,Judge_Scores!$B$2:$B$121,$A41,Judge_Scores!$D$2:$D$121,"Judge A")</f>
        <v>108.4</v>
      </c>
      <c r="C41" s="28" t="n">
        <f aca="false">SUMIFS(Judge_Scores!$K$2:$K$121,Judge_Scores!$B$2:$B$121,$A41,Judge_Scores!$D$2:$D$121,"Judge B")</f>
        <v>110.1</v>
      </c>
      <c r="D41" s="28" t="n">
        <f aca="false">SUMIFS(Judge_Scores!$K$2:$K$121,Judge_Scores!$B$2:$B$121,$A41,Judge_Scores!$D$2:$D$121,"Judge C")</f>
        <v>105.9</v>
      </c>
      <c r="E41" s="28" t="n">
        <f aca="false">MAX(B41:D41)-MIN(B41:D41)</f>
        <v>4.2</v>
      </c>
    </row>
    <row r="42" customFormat="false" ht="15" hidden="false" customHeight="false" outlineLevel="0" collapsed="false">
      <c r="A42" s="13" t="str">
        <f aca="false">Horse_Summary!A13</f>
        <v>HA-012</v>
      </c>
      <c r="B42" s="29" t="n">
        <f aca="false">SUMIFS(Judge_Scores!$K$2:$K$121,Judge_Scores!$B$2:$B$121,$A42,Judge_Scores!$D$2:$D$121,"Judge A")</f>
        <v>103.6</v>
      </c>
      <c r="C42" s="29" t="n">
        <f aca="false">SUMIFS(Judge_Scores!$K$2:$K$121,Judge_Scores!$B$2:$B$121,$A42,Judge_Scores!$D$2:$D$121,"Judge B")</f>
        <v>103.1</v>
      </c>
      <c r="D42" s="29" t="n">
        <f aca="false">SUMIFS(Judge_Scores!$K$2:$K$121,Judge_Scores!$B$2:$B$121,$A42,Judge_Scores!$D$2:$D$121,"Judge C")</f>
        <v>103.7</v>
      </c>
      <c r="E42" s="29" t="n">
        <f aca="false">MAX(B42:D42)-MIN(B42:D42)</f>
        <v>0.599999999999994</v>
      </c>
    </row>
    <row r="43" customFormat="false" ht="15" hidden="false" customHeight="false" outlineLevel="0" collapsed="false">
      <c r="A43" s="10" t="str">
        <f aca="false">Horse_Summary!A14</f>
        <v>HA-013</v>
      </c>
      <c r="B43" s="28" t="n">
        <f aca="false">SUMIFS(Judge_Scores!$K$2:$K$121,Judge_Scores!$B$2:$B$121,$A43,Judge_Scores!$D$2:$D$121,"Judge A")</f>
        <v>108.2</v>
      </c>
      <c r="C43" s="28" t="n">
        <f aca="false">SUMIFS(Judge_Scores!$K$2:$K$121,Judge_Scores!$B$2:$B$121,$A43,Judge_Scores!$D$2:$D$121,"Judge B")</f>
        <v>104.7</v>
      </c>
      <c r="D43" s="28" t="n">
        <f aca="false">SUMIFS(Judge_Scores!$K$2:$K$121,Judge_Scores!$B$2:$B$121,$A43,Judge_Scores!$D$2:$D$121,"Judge C")</f>
        <v>107.6</v>
      </c>
      <c r="E43" s="28" t="n">
        <f aca="false">MAX(B43:D43)-MIN(B43:D43)</f>
        <v>3.50000000000001</v>
      </c>
    </row>
    <row r="44" customFormat="false" ht="15" hidden="false" customHeight="false" outlineLevel="0" collapsed="false">
      <c r="A44" s="13" t="str">
        <f aca="false">Horse_Summary!A15</f>
        <v>HA-014</v>
      </c>
      <c r="B44" s="29" t="n">
        <f aca="false">SUMIFS(Judge_Scores!$K$2:$K$121,Judge_Scores!$B$2:$B$121,$A44,Judge_Scores!$D$2:$D$121,"Judge A")</f>
        <v>110.7</v>
      </c>
      <c r="C44" s="29" t="n">
        <f aca="false">SUMIFS(Judge_Scores!$K$2:$K$121,Judge_Scores!$B$2:$B$121,$A44,Judge_Scores!$D$2:$D$121,"Judge B")</f>
        <v>105.1</v>
      </c>
      <c r="D44" s="29" t="n">
        <f aca="false">SUMIFS(Judge_Scores!$K$2:$K$121,Judge_Scores!$B$2:$B$121,$A44,Judge_Scores!$D$2:$D$121,"Judge C")</f>
        <v>107.7</v>
      </c>
      <c r="E44" s="29" t="n">
        <f aca="false">MAX(B44:D44)-MIN(B44:D44)</f>
        <v>5.59999999999998</v>
      </c>
    </row>
    <row r="45" customFormat="false" ht="15" hidden="false" customHeight="false" outlineLevel="0" collapsed="false">
      <c r="A45" s="10" t="str">
        <f aca="false">Horse_Summary!A16</f>
        <v>HA-015</v>
      </c>
      <c r="B45" s="28" t="n">
        <f aca="false">SUMIFS(Judge_Scores!$K$2:$K$121,Judge_Scores!$B$2:$B$121,$A45,Judge_Scores!$D$2:$D$121,"Judge A")</f>
        <v>109</v>
      </c>
      <c r="C45" s="28" t="n">
        <f aca="false">SUMIFS(Judge_Scores!$K$2:$K$121,Judge_Scores!$B$2:$B$121,$A45,Judge_Scores!$D$2:$D$121,"Judge B")</f>
        <v>108.3</v>
      </c>
      <c r="D45" s="28" t="n">
        <f aca="false">SUMIFS(Judge_Scores!$K$2:$K$121,Judge_Scores!$B$2:$B$121,$A45,Judge_Scores!$D$2:$D$121,"Judge C")</f>
        <v>110</v>
      </c>
      <c r="E45" s="28" t="n">
        <f aca="false">MAX(B45:D45)-MIN(B45:D45)</f>
        <v>1.7</v>
      </c>
    </row>
    <row r="46" customFormat="false" ht="15" hidden="false" customHeight="false" outlineLevel="0" collapsed="false">
      <c r="A46" s="13" t="str">
        <f aca="false">Horse_Summary!A17</f>
        <v>HA-016</v>
      </c>
      <c r="B46" s="29" t="n">
        <f aca="false">SUMIFS(Judge_Scores!$K$2:$K$121,Judge_Scores!$B$2:$B$121,$A46,Judge_Scores!$D$2:$D$121,"Judge A")</f>
        <v>114.7</v>
      </c>
      <c r="C46" s="29" t="n">
        <f aca="false">SUMIFS(Judge_Scores!$K$2:$K$121,Judge_Scores!$B$2:$B$121,$A46,Judge_Scores!$D$2:$D$121,"Judge B")</f>
        <v>108</v>
      </c>
      <c r="D46" s="29" t="n">
        <f aca="false">SUMIFS(Judge_Scores!$K$2:$K$121,Judge_Scores!$B$2:$B$121,$A46,Judge_Scores!$D$2:$D$121,"Judge C")</f>
        <v>113.4</v>
      </c>
      <c r="E46" s="29" t="n">
        <f aca="false">MAX(B46:D46)-MIN(B46:D46)</f>
        <v>6.69999999999999</v>
      </c>
    </row>
    <row r="47" customFormat="false" ht="15" hidden="false" customHeight="false" outlineLevel="0" collapsed="false">
      <c r="A47" s="10" t="str">
        <f aca="false">Horse_Summary!A18</f>
        <v>HA-017</v>
      </c>
      <c r="B47" s="28" t="n">
        <f aca="false">SUMIFS(Judge_Scores!$K$2:$K$121,Judge_Scores!$B$2:$B$121,$A47,Judge_Scores!$D$2:$D$121,"Judge A")</f>
        <v>115.8</v>
      </c>
      <c r="C47" s="28" t="n">
        <f aca="false">SUMIFS(Judge_Scores!$K$2:$K$121,Judge_Scores!$B$2:$B$121,$A47,Judge_Scores!$D$2:$D$121,"Judge B")</f>
        <v>111.9</v>
      </c>
      <c r="D47" s="28" t="n">
        <f aca="false">SUMIFS(Judge_Scores!$K$2:$K$121,Judge_Scores!$B$2:$B$121,$A47,Judge_Scores!$D$2:$D$121,"Judge C")</f>
        <v>109.7</v>
      </c>
      <c r="E47" s="28" t="n">
        <f aca="false">MAX(B47:D47)-MIN(B47:D47)</f>
        <v>6.10000000000001</v>
      </c>
    </row>
    <row r="48" customFormat="false" ht="15" hidden="false" customHeight="false" outlineLevel="0" collapsed="false">
      <c r="A48" s="13" t="str">
        <f aca="false">Horse_Summary!A19</f>
        <v>HA-018</v>
      </c>
      <c r="B48" s="29" t="n">
        <f aca="false">SUMIFS(Judge_Scores!$K$2:$K$121,Judge_Scores!$B$2:$B$121,$A48,Judge_Scores!$D$2:$D$121,"Judge A")</f>
        <v>101.1</v>
      </c>
      <c r="C48" s="29" t="n">
        <f aca="false">SUMIFS(Judge_Scores!$K$2:$K$121,Judge_Scores!$B$2:$B$121,$A48,Judge_Scores!$D$2:$D$121,"Judge B")</f>
        <v>107.4</v>
      </c>
      <c r="D48" s="29" t="n">
        <f aca="false">SUMIFS(Judge_Scores!$K$2:$K$121,Judge_Scores!$B$2:$B$121,$A48,Judge_Scores!$D$2:$D$121,"Judge C")</f>
        <v>105.1</v>
      </c>
      <c r="E48" s="29" t="n">
        <f aca="false">MAX(B48:D48)-MIN(B48:D48)</f>
        <v>6.30000000000001</v>
      </c>
    </row>
    <row r="49" customFormat="false" ht="15" hidden="false" customHeight="false" outlineLevel="0" collapsed="false">
      <c r="A49" s="10" t="str">
        <f aca="false">Horse_Summary!A20</f>
        <v>HA-019</v>
      </c>
      <c r="B49" s="28" t="n">
        <f aca="false">SUMIFS(Judge_Scores!$K$2:$K$121,Judge_Scores!$B$2:$B$121,$A49,Judge_Scores!$D$2:$D$121,"Judge A")</f>
        <v>109.2</v>
      </c>
      <c r="C49" s="28" t="n">
        <f aca="false">SUMIFS(Judge_Scores!$K$2:$K$121,Judge_Scores!$B$2:$B$121,$A49,Judge_Scores!$D$2:$D$121,"Judge B")</f>
        <v>111.8</v>
      </c>
      <c r="D49" s="28" t="n">
        <f aca="false">SUMIFS(Judge_Scores!$K$2:$K$121,Judge_Scores!$B$2:$B$121,$A49,Judge_Scores!$D$2:$D$121,"Judge C")</f>
        <v>112.3</v>
      </c>
      <c r="E49" s="28" t="n">
        <f aca="false">MAX(B49:D49)-MIN(B49:D49)</f>
        <v>3.09999999999999</v>
      </c>
    </row>
    <row r="50" customFormat="false" ht="15" hidden="false" customHeight="false" outlineLevel="0" collapsed="false">
      <c r="A50" s="13" t="str">
        <f aca="false">Horse_Summary!A21</f>
        <v>HA-020</v>
      </c>
      <c r="B50" s="29" t="n">
        <f aca="false">SUMIFS(Judge_Scores!$K$2:$K$121,Judge_Scores!$B$2:$B$121,$A50,Judge_Scores!$D$2:$D$121,"Judge A")</f>
        <v>114.5</v>
      </c>
      <c r="C50" s="29" t="n">
        <f aca="false">SUMIFS(Judge_Scores!$K$2:$K$121,Judge_Scores!$B$2:$B$121,$A50,Judge_Scores!$D$2:$D$121,"Judge B")</f>
        <v>109.9</v>
      </c>
      <c r="D50" s="29" t="n">
        <f aca="false">SUMIFS(Judge_Scores!$K$2:$K$121,Judge_Scores!$B$2:$B$121,$A50,Judge_Scores!$D$2:$D$121,"Judge C")</f>
        <v>105.5</v>
      </c>
      <c r="E50" s="29" t="n">
        <f aca="false">MAX(B50:D50)-MIN(B50:D50)</f>
        <v>9</v>
      </c>
    </row>
    <row r="51" customFormat="false" ht="15" hidden="false" customHeight="false" outlineLevel="0" collapsed="false">
      <c r="A51" s="10" t="str">
        <f aca="false">Horse_Summary!A22</f>
        <v>HA-021</v>
      </c>
      <c r="B51" s="28" t="n">
        <f aca="false">SUMIFS(Judge_Scores!$K$2:$K$121,Judge_Scores!$B$2:$B$121,$A51,Judge_Scores!$D$2:$D$121,"Judge A")</f>
        <v>113.2</v>
      </c>
      <c r="C51" s="28" t="n">
        <f aca="false">SUMIFS(Judge_Scores!$K$2:$K$121,Judge_Scores!$B$2:$B$121,$A51,Judge_Scores!$D$2:$D$121,"Judge B")</f>
        <v>109.5</v>
      </c>
      <c r="D51" s="28" t="n">
        <f aca="false">SUMIFS(Judge_Scores!$K$2:$K$121,Judge_Scores!$B$2:$B$121,$A51,Judge_Scores!$D$2:$D$121,"Judge C")</f>
        <v>109.2</v>
      </c>
      <c r="E51" s="28" t="n">
        <f aca="false">MAX(B51:D51)-MIN(B51:D51)</f>
        <v>4.00000000000001</v>
      </c>
    </row>
    <row r="52" customFormat="false" ht="15" hidden="false" customHeight="false" outlineLevel="0" collapsed="false">
      <c r="A52" s="13" t="str">
        <f aca="false">Horse_Summary!A23</f>
        <v>HA-022</v>
      </c>
      <c r="B52" s="29" t="n">
        <f aca="false">SUMIFS(Judge_Scores!$K$2:$K$121,Judge_Scores!$B$2:$B$121,$A52,Judge_Scores!$D$2:$D$121,"Judge A")</f>
        <v>111.1</v>
      </c>
      <c r="C52" s="29" t="n">
        <f aca="false">SUMIFS(Judge_Scores!$K$2:$K$121,Judge_Scores!$B$2:$B$121,$A52,Judge_Scores!$D$2:$D$121,"Judge B")</f>
        <v>106.6</v>
      </c>
      <c r="D52" s="29" t="n">
        <f aca="false">SUMIFS(Judge_Scores!$K$2:$K$121,Judge_Scores!$B$2:$B$121,$A52,Judge_Scores!$D$2:$D$121,"Judge C")</f>
        <v>109.8</v>
      </c>
      <c r="E52" s="29" t="n">
        <f aca="false">MAX(B52:D52)-MIN(B52:D52)</f>
        <v>4.5</v>
      </c>
    </row>
    <row r="53" customFormat="false" ht="15" hidden="false" customHeight="false" outlineLevel="0" collapsed="false">
      <c r="A53" s="10" t="str">
        <f aca="false">Horse_Summary!A24</f>
        <v>HA-023</v>
      </c>
      <c r="B53" s="28" t="n">
        <f aca="false">SUMIFS(Judge_Scores!$K$2:$K$121,Judge_Scores!$B$2:$B$121,$A53,Judge_Scores!$D$2:$D$121,"Judge A")</f>
        <v>113.7</v>
      </c>
      <c r="C53" s="28" t="n">
        <f aca="false">SUMIFS(Judge_Scores!$K$2:$K$121,Judge_Scores!$B$2:$B$121,$A53,Judge_Scores!$D$2:$D$121,"Judge B")</f>
        <v>111.5</v>
      </c>
      <c r="D53" s="28" t="n">
        <f aca="false">SUMIFS(Judge_Scores!$K$2:$K$121,Judge_Scores!$B$2:$B$121,$A53,Judge_Scores!$D$2:$D$121,"Judge C")</f>
        <v>113.2</v>
      </c>
      <c r="E53" s="28" t="n">
        <f aca="false">MAX(B53:D53)-MIN(B53:D53)</f>
        <v>2.2</v>
      </c>
    </row>
    <row r="54" customFormat="false" ht="15" hidden="false" customHeight="false" outlineLevel="0" collapsed="false">
      <c r="A54" s="13" t="str">
        <f aca="false">Horse_Summary!A25</f>
        <v>HA-024</v>
      </c>
      <c r="B54" s="29" t="n">
        <f aca="false">SUMIFS(Judge_Scores!$K$2:$K$121,Judge_Scores!$B$2:$B$121,$A54,Judge_Scores!$D$2:$D$121,"Judge A")</f>
        <v>110.6</v>
      </c>
      <c r="C54" s="29" t="n">
        <f aca="false">SUMIFS(Judge_Scores!$K$2:$K$121,Judge_Scores!$B$2:$B$121,$A54,Judge_Scores!$D$2:$D$121,"Judge B")</f>
        <v>108.8</v>
      </c>
      <c r="D54" s="29" t="n">
        <f aca="false">SUMIFS(Judge_Scores!$K$2:$K$121,Judge_Scores!$B$2:$B$121,$A54,Judge_Scores!$D$2:$D$121,"Judge C")</f>
        <v>111.1</v>
      </c>
      <c r="E54" s="29" t="n">
        <f aca="false">MAX(B54:D54)-MIN(B54:D54)</f>
        <v>2.29999999999998</v>
      </c>
    </row>
    <row r="55" customFormat="false" ht="15" hidden="false" customHeight="false" outlineLevel="0" collapsed="false">
      <c r="A55" s="10" t="str">
        <f aca="false">Horse_Summary!A26</f>
        <v>HA-025</v>
      </c>
      <c r="B55" s="28" t="n">
        <f aca="false">SUMIFS(Judge_Scores!$K$2:$K$121,Judge_Scores!$B$2:$B$121,$A55,Judge_Scores!$D$2:$D$121,"Judge A")</f>
        <v>108.4</v>
      </c>
      <c r="C55" s="28" t="n">
        <f aca="false">SUMIFS(Judge_Scores!$K$2:$K$121,Judge_Scores!$B$2:$B$121,$A55,Judge_Scores!$D$2:$D$121,"Judge B")</f>
        <v>107.9</v>
      </c>
      <c r="D55" s="28" t="n">
        <f aca="false">SUMIFS(Judge_Scores!$K$2:$K$121,Judge_Scores!$B$2:$B$121,$A55,Judge_Scores!$D$2:$D$121,"Judge C")</f>
        <v>107.4</v>
      </c>
      <c r="E55" s="28" t="n">
        <f aca="false">MAX(B55:D55)-MIN(B55:D55)</f>
        <v>1</v>
      </c>
    </row>
    <row r="56" customFormat="false" ht="15" hidden="false" customHeight="false" outlineLevel="0" collapsed="false">
      <c r="A56" s="13" t="str">
        <f aca="false">Horse_Summary!A27</f>
        <v>HA-026</v>
      </c>
      <c r="B56" s="29" t="n">
        <f aca="false">SUMIFS(Judge_Scores!$K$2:$K$121,Judge_Scores!$B$2:$B$121,$A56,Judge_Scores!$D$2:$D$121,"Judge A")</f>
        <v>114.4</v>
      </c>
      <c r="C56" s="29" t="n">
        <f aca="false">SUMIFS(Judge_Scores!$K$2:$K$121,Judge_Scores!$B$2:$B$121,$A56,Judge_Scores!$D$2:$D$121,"Judge B")</f>
        <v>107.5</v>
      </c>
      <c r="D56" s="29" t="n">
        <f aca="false">SUMIFS(Judge_Scores!$K$2:$K$121,Judge_Scores!$B$2:$B$121,$A56,Judge_Scores!$D$2:$D$121,"Judge C")</f>
        <v>109.3</v>
      </c>
      <c r="E56" s="29" t="n">
        <f aca="false">MAX(B56:D56)-MIN(B56:D56)</f>
        <v>6.90000000000001</v>
      </c>
    </row>
    <row r="57" customFormat="false" ht="15" hidden="false" customHeight="false" outlineLevel="0" collapsed="false">
      <c r="A57" s="10" t="str">
        <f aca="false">Horse_Summary!A28</f>
        <v>HA-027</v>
      </c>
      <c r="B57" s="28" t="n">
        <f aca="false">SUMIFS(Judge_Scores!$K$2:$K$121,Judge_Scores!$B$2:$B$121,$A57,Judge_Scores!$D$2:$D$121,"Judge A")</f>
        <v>111.5</v>
      </c>
      <c r="C57" s="28" t="n">
        <f aca="false">SUMIFS(Judge_Scores!$K$2:$K$121,Judge_Scores!$B$2:$B$121,$A57,Judge_Scores!$D$2:$D$121,"Judge B")</f>
        <v>110.5</v>
      </c>
      <c r="D57" s="28" t="n">
        <f aca="false">SUMIFS(Judge_Scores!$K$2:$K$121,Judge_Scores!$B$2:$B$121,$A57,Judge_Scores!$D$2:$D$121,"Judge C")</f>
        <v>110.2</v>
      </c>
      <c r="E57" s="28" t="n">
        <f aca="false">MAX(B57:D57)-MIN(B57:D57)</f>
        <v>1.30000000000001</v>
      </c>
    </row>
    <row r="58" customFormat="false" ht="15" hidden="false" customHeight="false" outlineLevel="0" collapsed="false">
      <c r="A58" s="13" t="str">
        <f aca="false">Horse_Summary!A29</f>
        <v>HA-028</v>
      </c>
      <c r="B58" s="29" t="n">
        <f aca="false">SUMIFS(Judge_Scores!$K$2:$K$121,Judge_Scores!$B$2:$B$121,$A58,Judge_Scores!$D$2:$D$121,"Judge A")</f>
        <v>111.2</v>
      </c>
      <c r="C58" s="29" t="n">
        <f aca="false">SUMIFS(Judge_Scores!$K$2:$K$121,Judge_Scores!$B$2:$B$121,$A58,Judge_Scores!$D$2:$D$121,"Judge B")</f>
        <v>111.9</v>
      </c>
      <c r="D58" s="29" t="n">
        <f aca="false">SUMIFS(Judge_Scores!$K$2:$K$121,Judge_Scores!$B$2:$B$121,$A58,Judge_Scores!$D$2:$D$121,"Judge C")</f>
        <v>113.3</v>
      </c>
      <c r="E58" s="29" t="n">
        <f aca="false">MAX(B58:D58)-MIN(B58:D58)</f>
        <v>2.09999999999999</v>
      </c>
    </row>
    <row r="59" customFormat="false" ht="15" hidden="false" customHeight="false" outlineLevel="0" collapsed="false">
      <c r="A59" s="10" t="str">
        <f aca="false">Horse_Summary!A30</f>
        <v>HA-029</v>
      </c>
      <c r="B59" s="28" t="n">
        <f aca="false">SUMIFS(Judge_Scores!$K$2:$K$121,Judge_Scores!$B$2:$B$121,$A59,Judge_Scores!$D$2:$D$121,"Judge A")</f>
        <v>116.6</v>
      </c>
      <c r="C59" s="28" t="n">
        <f aca="false">SUMIFS(Judge_Scores!$K$2:$K$121,Judge_Scores!$B$2:$B$121,$A59,Judge_Scores!$D$2:$D$121,"Judge B")</f>
        <v>110.9</v>
      </c>
      <c r="D59" s="28" t="n">
        <f aca="false">SUMIFS(Judge_Scores!$K$2:$K$121,Judge_Scores!$B$2:$B$121,$A59,Judge_Scores!$D$2:$D$121,"Judge C")</f>
        <v>111.3</v>
      </c>
      <c r="E59" s="28" t="n">
        <f aca="false">MAX(B59:D59)-MIN(B59:D59)</f>
        <v>5.69999999999999</v>
      </c>
    </row>
    <row r="60" customFormat="false" ht="15" hidden="false" customHeight="false" outlineLevel="0" collapsed="false">
      <c r="A60" s="13" t="str">
        <f aca="false">Horse_Summary!A31</f>
        <v>HA-030</v>
      </c>
      <c r="B60" s="29" t="n">
        <f aca="false">SUMIFS(Judge_Scores!$K$2:$K$121,Judge_Scores!$B$2:$B$121,$A60,Judge_Scores!$D$2:$D$121,"Judge A")</f>
        <v>113</v>
      </c>
      <c r="C60" s="29" t="n">
        <f aca="false">SUMIFS(Judge_Scores!$K$2:$K$121,Judge_Scores!$B$2:$B$121,$A60,Judge_Scores!$D$2:$D$121,"Judge B")</f>
        <v>109.3</v>
      </c>
      <c r="D60" s="29" t="n">
        <f aca="false">SUMIFS(Judge_Scores!$K$2:$K$121,Judge_Scores!$B$2:$B$121,$A60,Judge_Scores!$D$2:$D$121,"Judge C")</f>
        <v>109</v>
      </c>
      <c r="E60" s="29" t="n">
        <f aca="false">MAX(B60:D60)-MIN(B60:D60)</f>
        <v>4.00000000000001</v>
      </c>
    </row>
    <row r="61" customFormat="false" ht="15" hidden="false" customHeight="false" outlineLevel="0" collapsed="false">
      <c r="A61" s="10" t="str">
        <f aca="false">Horse_Summary!A32</f>
        <v>HA-031</v>
      </c>
      <c r="B61" s="28" t="n">
        <f aca="false">SUMIFS(Judge_Scores!$K$2:$K$121,Judge_Scores!$B$2:$B$121,$A61,Judge_Scores!$D$2:$D$121,"Judge A")</f>
        <v>112.7</v>
      </c>
      <c r="C61" s="28" t="n">
        <f aca="false">SUMIFS(Judge_Scores!$K$2:$K$121,Judge_Scores!$B$2:$B$121,$A61,Judge_Scores!$D$2:$D$121,"Judge B")</f>
        <v>112.3</v>
      </c>
      <c r="D61" s="28" t="n">
        <f aca="false">SUMIFS(Judge_Scores!$K$2:$K$121,Judge_Scores!$B$2:$B$121,$A61,Judge_Scores!$D$2:$D$121,"Judge C")</f>
        <v>113.2</v>
      </c>
      <c r="E61" s="28" t="n">
        <f aca="false">MAX(B61:D61)-MIN(B61:D61)</f>
        <v>0.899999999999992</v>
      </c>
    </row>
    <row r="62" customFormat="false" ht="15" hidden="false" customHeight="false" outlineLevel="0" collapsed="false">
      <c r="A62" s="13" t="str">
        <f aca="false">Horse_Summary!A33</f>
        <v>HA-032</v>
      </c>
      <c r="B62" s="29" t="n">
        <f aca="false">SUMIFS(Judge_Scores!$K$2:$K$121,Judge_Scores!$B$2:$B$121,$A62,Judge_Scores!$D$2:$D$121,"Judge A")</f>
        <v>110.4</v>
      </c>
      <c r="C62" s="29" t="n">
        <f aca="false">SUMIFS(Judge_Scores!$K$2:$K$121,Judge_Scores!$B$2:$B$121,$A62,Judge_Scores!$D$2:$D$121,"Judge B")</f>
        <v>105.9</v>
      </c>
      <c r="D62" s="29" t="n">
        <f aca="false">SUMIFS(Judge_Scores!$K$2:$K$121,Judge_Scores!$B$2:$B$121,$A62,Judge_Scores!$D$2:$D$121,"Judge C")</f>
        <v>105.6</v>
      </c>
      <c r="E62" s="29" t="n">
        <f aca="false">MAX(B62:D62)-MIN(B62:D62)</f>
        <v>4.80000000000001</v>
      </c>
    </row>
    <row r="63" customFormat="false" ht="15" hidden="false" customHeight="false" outlineLevel="0" collapsed="false">
      <c r="A63" s="10" t="str">
        <f aca="false">Horse_Summary!A34</f>
        <v>HA-033</v>
      </c>
      <c r="B63" s="28" t="n">
        <f aca="false">SUMIFS(Judge_Scores!$K$2:$K$121,Judge_Scores!$B$2:$B$121,$A63,Judge_Scores!$D$2:$D$121,"Judge A")</f>
        <v>113.9</v>
      </c>
      <c r="C63" s="28" t="n">
        <f aca="false">SUMIFS(Judge_Scores!$K$2:$K$121,Judge_Scores!$B$2:$B$121,$A63,Judge_Scores!$D$2:$D$121,"Judge B")</f>
        <v>113.7</v>
      </c>
      <c r="D63" s="28" t="n">
        <f aca="false">SUMIFS(Judge_Scores!$K$2:$K$121,Judge_Scores!$B$2:$B$121,$A63,Judge_Scores!$D$2:$D$121,"Judge C")</f>
        <v>107.6</v>
      </c>
      <c r="E63" s="28" t="n">
        <f aca="false">MAX(B63:D63)-MIN(B63:D63)</f>
        <v>6.30000000000001</v>
      </c>
    </row>
    <row r="64" customFormat="false" ht="15" hidden="false" customHeight="false" outlineLevel="0" collapsed="false">
      <c r="A64" s="13" t="str">
        <f aca="false">Horse_Summary!A35</f>
        <v>HA-034</v>
      </c>
      <c r="B64" s="29" t="n">
        <f aca="false">SUMIFS(Judge_Scores!$K$2:$K$121,Judge_Scores!$B$2:$B$121,$A64,Judge_Scores!$D$2:$D$121,"Judge A")</f>
        <v>115.1</v>
      </c>
      <c r="C64" s="29" t="n">
        <f aca="false">SUMIFS(Judge_Scores!$K$2:$K$121,Judge_Scores!$B$2:$B$121,$A64,Judge_Scores!$D$2:$D$121,"Judge B")</f>
        <v>112.8</v>
      </c>
      <c r="D64" s="29" t="n">
        <f aca="false">SUMIFS(Judge_Scores!$K$2:$K$121,Judge_Scores!$B$2:$B$121,$A64,Judge_Scores!$D$2:$D$121,"Judge C")</f>
        <v>115.1</v>
      </c>
      <c r="E64" s="29" t="n">
        <f aca="false">MAX(B64:D64)-MIN(B64:D64)</f>
        <v>2.29999999999998</v>
      </c>
    </row>
    <row r="65" customFormat="false" ht="15" hidden="false" customHeight="false" outlineLevel="0" collapsed="false">
      <c r="A65" s="10" t="str">
        <f aca="false">Horse_Summary!A36</f>
        <v>HA-035</v>
      </c>
      <c r="B65" s="28" t="n">
        <f aca="false">SUMIFS(Judge_Scores!$K$2:$K$121,Judge_Scores!$B$2:$B$121,$A65,Judge_Scores!$D$2:$D$121,"Judge A")</f>
        <v>110.2</v>
      </c>
      <c r="C65" s="28" t="n">
        <f aca="false">SUMIFS(Judge_Scores!$K$2:$K$121,Judge_Scores!$B$2:$B$121,$A65,Judge_Scores!$D$2:$D$121,"Judge B")</f>
        <v>112.5</v>
      </c>
      <c r="D65" s="28" t="n">
        <f aca="false">SUMIFS(Judge_Scores!$K$2:$K$121,Judge_Scores!$B$2:$B$121,$A65,Judge_Scores!$D$2:$D$121,"Judge C")</f>
        <v>111.5</v>
      </c>
      <c r="E65" s="28" t="n">
        <f aca="false">MAX(B65:D65)-MIN(B65:D65)</f>
        <v>2.3</v>
      </c>
    </row>
    <row r="66" customFormat="false" ht="15" hidden="false" customHeight="false" outlineLevel="0" collapsed="false">
      <c r="A66" s="13" t="str">
        <f aca="false">Horse_Summary!A37</f>
        <v>HA-036</v>
      </c>
      <c r="B66" s="29" t="n">
        <f aca="false">SUMIFS(Judge_Scores!$K$2:$K$121,Judge_Scores!$B$2:$B$121,$A66,Judge_Scores!$D$2:$D$121,"Judge A")</f>
        <v>111.3</v>
      </c>
      <c r="C66" s="29" t="n">
        <f aca="false">SUMIFS(Judge_Scores!$K$2:$K$121,Judge_Scores!$B$2:$B$121,$A66,Judge_Scores!$D$2:$D$121,"Judge B")</f>
        <v>111.6</v>
      </c>
      <c r="D66" s="29" t="n">
        <f aca="false">SUMIFS(Judge_Scores!$K$2:$K$121,Judge_Scores!$B$2:$B$121,$A66,Judge_Scores!$D$2:$D$121,"Judge C")</f>
        <v>109.5</v>
      </c>
      <c r="E66" s="29" t="n">
        <f aca="false">MAX(B66:D66)-MIN(B66:D66)</f>
        <v>2.09999999999999</v>
      </c>
    </row>
    <row r="67" customFormat="false" ht="15" hidden="false" customHeight="false" outlineLevel="0" collapsed="false">
      <c r="A67" s="10" t="str">
        <f aca="false">Horse_Summary!A38</f>
        <v>HA-037</v>
      </c>
      <c r="B67" s="28" t="n">
        <f aca="false">SUMIFS(Judge_Scores!$K$2:$K$121,Judge_Scores!$B$2:$B$121,$A67,Judge_Scores!$D$2:$D$121,"Judge A")</f>
        <v>108.6</v>
      </c>
      <c r="C67" s="28" t="n">
        <f aca="false">SUMIFS(Judge_Scores!$K$2:$K$121,Judge_Scores!$B$2:$B$121,$A67,Judge_Scores!$D$2:$D$121,"Judge B")</f>
        <v>108.8</v>
      </c>
      <c r="D67" s="28" t="n">
        <f aca="false">SUMIFS(Judge_Scores!$K$2:$K$121,Judge_Scores!$B$2:$B$121,$A67,Judge_Scores!$D$2:$D$121,"Judge C")</f>
        <v>102.3</v>
      </c>
      <c r="E67" s="28" t="n">
        <f aca="false">MAX(B67:D67)-MIN(B67:D67)</f>
        <v>6.5</v>
      </c>
    </row>
    <row r="68" customFormat="false" ht="15" hidden="false" customHeight="false" outlineLevel="0" collapsed="false">
      <c r="A68" s="13" t="str">
        <f aca="false">Horse_Summary!A39</f>
        <v>HA-038</v>
      </c>
      <c r="B68" s="29" t="n">
        <f aca="false">SUMIFS(Judge_Scores!$K$2:$K$121,Judge_Scores!$B$2:$B$121,$A68,Judge_Scores!$D$2:$D$121,"Judge A")</f>
        <v>111.2</v>
      </c>
      <c r="C68" s="29" t="n">
        <f aca="false">SUMIFS(Judge_Scores!$K$2:$K$121,Judge_Scores!$B$2:$B$121,$A68,Judge_Scores!$D$2:$D$121,"Judge B")</f>
        <v>109.1</v>
      </c>
      <c r="D68" s="29" t="n">
        <f aca="false">SUMIFS(Judge_Scores!$K$2:$K$121,Judge_Scores!$B$2:$B$121,$A68,Judge_Scores!$D$2:$D$121,"Judge C")</f>
        <v>110.1</v>
      </c>
      <c r="E68" s="29" t="n">
        <f aca="false">MAX(B68:D68)-MIN(B68:D68)</f>
        <v>2.10000000000001</v>
      </c>
    </row>
    <row r="69" customFormat="false" ht="15" hidden="false" customHeight="false" outlineLevel="0" collapsed="false">
      <c r="A69" s="10" t="str">
        <f aca="false">Horse_Summary!A40</f>
        <v>HA-039</v>
      </c>
      <c r="B69" s="28" t="n">
        <f aca="false">SUMIFS(Judge_Scores!$K$2:$K$121,Judge_Scores!$B$2:$B$121,$A69,Judge_Scores!$D$2:$D$121,"Judge A")</f>
        <v>115.8</v>
      </c>
      <c r="C69" s="28" t="n">
        <f aca="false">SUMIFS(Judge_Scores!$K$2:$K$121,Judge_Scores!$B$2:$B$121,$A69,Judge_Scores!$D$2:$D$121,"Judge B")</f>
        <v>108.4</v>
      </c>
      <c r="D69" s="28" t="n">
        <f aca="false">SUMIFS(Judge_Scores!$K$2:$K$121,Judge_Scores!$B$2:$B$121,$A69,Judge_Scores!$D$2:$D$121,"Judge C")</f>
        <v>107.7</v>
      </c>
      <c r="E69" s="28" t="n">
        <f aca="false">MAX(B69:D69)-MIN(B69:D69)</f>
        <v>8.09999999999999</v>
      </c>
    </row>
    <row r="70" customFormat="false" ht="15" hidden="false" customHeight="false" outlineLevel="0" collapsed="false">
      <c r="A70" s="13" t="str">
        <f aca="false">Horse_Summary!A41</f>
        <v>HA-040</v>
      </c>
      <c r="B70" s="29" t="n">
        <f aca="false">SUMIFS(Judge_Scores!$K$2:$K$121,Judge_Scores!$B$2:$B$121,$A70,Judge_Scores!$D$2:$D$121,"Judge A")</f>
        <v>118.4</v>
      </c>
      <c r="C70" s="29" t="n">
        <f aca="false">SUMIFS(Judge_Scores!$K$2:$K$121,Judge_Scores!$B$2:$B$121,$A70,Judge_Scores!$D$2:$D$121,"Judge B")</f>
        <v>113.3</v>
      </c>
      <c r="D70" s="29" t="n">
        <f aca="false">SUMIFS(Judge_Scores!$K$2:$K$121,Judge_Scores!$B$2:$B$121,$A70,Judge_Scores!$D$2:$D$121,"Judge C")</f>
        <v>110.1</v>
      </c>
      <c r="E70" s="29" t="n">
        <f aca="false">MAX(B70:D70)-MIN(B70:D70)</f>
        <v>8.3</v>
      </c>
    </row>
  </sheetData>
  <conditionalFormatting sqref="B13:G15">
    <cfRule type="colorScale" priority="2">
      <colorScale>
        <cfvo type="num" val="-0.4"/>
        <cfvo type="num" val="0"/>
        <cfvo type="num" val="0.4"/>
        <color rgb="FFE34948"/>
        <color rgb="FFF7F6F3"/>
        <color rgb="FF2A78D6"/>
      </colorScale>
    </cfRule>
  </conditionalFormatting>
  <conditionalFormatting sqref="E31:E70">
    <cfRule type="colorScale" priority="3">
      <colorScale>
        <cfvo type="num" val="0"/>
        <cfvo type="num" val="10"/>
        <color rgb="FFEAF2FD"/>
        <color rgb="FF2A78D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2026-10-08T01:53:03Z</dcterms:created>
  <dc:creator>openpyxl</dc:creator>
  <dc:description/>
  <dc:language>en-US</dc:language>
  <cp:lastModifiedBy/>
  <dcterms:modified xsi:type="dcterms:W3CDTF">2026-10-07T18:53:07Z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